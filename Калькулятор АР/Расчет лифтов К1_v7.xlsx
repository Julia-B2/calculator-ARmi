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Объекты\053 Молодогвардейская\03 Проектирование\03 АГО (АГР)\01 Рабочая папка\00_АР\Лифты\"/>
    </mc:Choice>
  </mc:AlternateContent>
  <xr:revisionPtr revIDLastSave="0" documentId="8_{0C0D0EE9-A899-47D0-86D7-F0AEFB085218}" xr6:coauthVersionLast="47" xr6:coauthVersionMax="47" xr10:uidLastSave="{00000000-0000-0000-0000-000000000000}"/>
  <bookViews>
    <workbookView xWindow="7215" yWindow="1935" windowWidth="20565" windowHeight="13515" activeTab="4" xr2:uid="{00000000-000D-0000-FFFF-FFFF00000000}"/>
  </bookViews>
  <sheets>
    <sheet name="Inputs" sheetId="1" r:id="rId1"/>
    <sheet name="Zone1" sheetId="2" r:id="rId2"/>
    <sheet name="Zone2" sheetId="3" r:id="rId3"/>
    <sheet name="Checks" sheetId="4" r:id="rId4"/>
    <sheet name="Выводы" sheetId="5" r:id="rId5"/>
    <sheet name="Допущения" sheetId="6" r:id="rId6"/>
    <sheet name="Нормативы" sheetId="7" r:id="rId7"/>
  </sheets>
  <definedNames>
    <definedName name="Dt">Inputs!$C$32</definedName>
    <definedName name="E_1000">Inputs!$C$36</definedName>
    <definedName name="E_640">Inputs!$C$35</definedName>
    <definedName name="GamP">Inputs!$C$33</definedName>
    <definedName name="GamS">Inputs!$C$34</definedName>
    <definedName name="H_Z1">Inputs!$C$11</definedName>
    <definedName name="H_Z2">Inputs!$C$12</definedName>
    <definedName name="Kt">Inputs!$C$31</definedName>
    <definedName name="Kv">Inputs!$C$30</definedName>
    <definedName name="N_dn1">Inputs!$C$45</definedName>
    <definedName name="N_dn2">Inputs!$C$47</definedName>
    <definedName name="N_up1">Inputs!$C$44</definedName>
    <definedName name="N_up2">Inputs!$C$46</definedName>
    <definedName name="P_15">Inputs!$C$26</definedName>
    <definedName name="P_18">Inputs!$C$25</definedName>
    <definedName name="P_25">Inputs!$C$28</definedName>
    <definedName name="P_28">Inputs!$C$27</definedName>
    <definedName name="SPD">Inputs!$D$39:$H$39</definedName>
    <definedName name="T_123">Inputs!$D$40:$H$40</definedName>
    <definedName name="TUtarget">Inputs!$C$37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C4" i="3"/>
  <c r="D4" i="3" s="1"/>
  <c r="C5" i="2"/>
  <c r="D5" i="2" s="1"/>
  <c r="C4" i="2"/>
  <c r="D4" i="2" s="1"/>
  <c r="C36" i="1"/>
  <c r="B4" i="4" s="1"/>
  <c r="C19" i="1"/>
  <c r="C22" i="1" s="1"/>
  <c r="C18" i="1"/>
  <c r="C21" i="1" s="1"/>
  <c r="C10" i="1"/>
  <c r="C12" i="1" s="1"/>
  <c r="C9" i="1"/>
  <c r="C11" i="1" s="1"/>
  <c r="O15" i="3" l="1"/>
  <c r="N14" i="3"/>
  <c r="O13" i="3"/>
  <c r="N12" i="3"/>
  <c r="O11" i="3"/>
  <c r="N10" i="3"/>
  <c r="O9" i="3"/>
  <c r="B13" i="4" s="1"/>
  <c r="N8" i="3"/>
  <c r="B7" i="4"/>
  <c r="N15" i="3"/>
  <c r="O14" i="3"/>
  <c r="N13" i="3"/>
  <c r="O12" i="3"/>
  <c r="N11" i="3"/>
  <c r="O10" i="3"/>
  <c r="N9" i="3"/>
  <c r="B14" i="4" s="1"/>
  <c r="O8" i="3"/>
  <c r="C27" i="1"/>
  <c r="C28" i="1"/>
  <c r="B6" i="4"/>
  <c r="O13" i="2"/>
  <c r="N12" i="2"/>
  <c r="O11" i="2"/>
  <c r="N10" i="2"/>
  <c r="O9" i="2"/>
  <c r="N8" i="2"/>
  <c r="N13" i="2"/>
  <c r="O12" i="2"/>
  <c r="N11" i="2"/>
  <c r="O10" i="2"/>
  <c r="N9" i="2"/>
  <c r="O8" i="2"/>
  <c r="C25" i="1"/>
  <c r="B5" i="4"/>
  <c r="C26" i="1"/>
  <c r="E4" i="2"/>
  <c r="F4" i="2" s="1"/>
  <c r="E5" i="2"/>
  <c r="F5" i="2" s="1"/>
  <c r="E4" i="3"/>
  <c r="F4" i="3" s="1"/>
  <c r="C5" i="3"/>
  <c r="G14" i="3" l="1"/>
  <c r="G12" i="3"/>
  <c r="G10" i="3"/>
  <c r="G8" i="3"/>
  <c r="G15" i="3"/>
  <c r="G13" i="3"/>
  <c r="G11" i="3"/>
  <c r="G9" i="3"/>
  <c r="G13" i="2"/>
  <c r="G11" i="2"/>
  <c r="G9" i="2"/>
  <c r="G12" i="2"/>
  <c r="G10" i="2"/>
  <c r="G8" i="2"/>
  <c r="H12" i="2"/>
  <c r="H10" i="2"/>
  <c r="H8" i="2"/>
  <c r="H13" i="2"/>
  <c r="H11" i="2"/>
  <c r="H9" i="2"/>
  <c r="D5" i="3"/>
  <c r="F5" i="3" s="1"/>
  <c r="E5" i="3"/>
  <c r="L8" i="2" l="1"/>
  <c r="I8" i="2"/>
  <c r="L12" i="2"/>
  <c r="M12" i="2" s="1"/>
  <c r="I12" i="2"/>
  <c r="I11" i="2"/>
  <c r="L11" i="2"/>
  <c r="H15" i="3"/>
  <c r="H13" i="3"/>
  <c r="I13" i="3" s="1"/>
  <c r="H11" i="3"/>
  <c r="H9" i="3"/>
  <c r="I9" i="3" s="1"/>
  <c r="H14" i="3"/>
  <c r="H12" i="3"/>
  <c r="L12" i="3" s="1"/>
  <c r="M12" i="3" s="1"/>
  <c r="H10" i="3"/>
  <c r="H8" i="3"/>
  <c r="L8" i="3" s="1"/>
  <c r="M8" i="3" s="1"/>
  <c r="L10" i="2"/>
  <c r="M10" i="2" s="1"/>
  <c r="I10" i="2"/>
  <c r="I9" i="2"/>
  <c r="L9" i="2"/>
  <c r="M9" i="2" s="1"/>
  <c r="I13" i="2"/>
  <c r="L13" i="2"/>
  <c r="M13" i="2" s="1"/>
  <c r="I11" i="3"/>
  <c r="L11" i="3"/>
  <c r="M11" i="3" s="1"/>
  <c r="I15" i="3"/>
  <c r="L15" i="3"/>
  <c r="M15" i="3" s="1"/>
  <c r="L10" i="3"/>
  <c r="M10" i="3" s="1"/>
  <c r="I10" i="3"/>
  <c r="L14" i="3"/>
  <c r="M14" i="3" s="1"/>
  <c r="I14" i="3"/>
  <c r="J13" i="3" l="1"/>
  <c r="K13" i="3"/>
  <c r="J9" i="3"/>
  <c r="B9" i="4" s="1"/>
  <c r="K9" i="3"/>
  <c r="J14" i="3"/>
  <c r="K14" i="3"/>
  <c r="J10" i="3"/>
  <c r="K10" i="3"/>
  <c r="K10" i="2"/>
  <c r="J10" i="2"/>
  <c r="I12" i="3"/>
  <c r="I8" i="3"/>
  <c r="L13" i="3"/>
  <c r="M13" i="3" s="1"/>
  <c r="L9" i="3"/>
  <c r="M11" i="2"/>
  <c r="B11" i="4"/>
  <c r="J12" i="2"/>
  <c r="K12" i="2"/>
  <c r="K8" i="2"/>
  <c r="J8" i="2"/>
  <c r="B12" i="4" s="1"/>
  <c r="J15" i="3"/>
  <c r="K15" i="3"/>
  <c r="J11" i="3"/>
  <c r="K11" i="3"/>
  <c r="K13" i="2"/>
  <c r="J13" i="2"/>
  <c r="J9" i="2"/>
  <c r="K9" i="2"/>
  <c r="J11" i="2"/>
  <c r="K11" i="2"/>
  <c r="B10" i="4"/>
  <c r="M8" i="2"/>
  <c r="B8" i="4" l="1"/>
  <c r="M9" i="3"/>
  <c r="J8" i="3"/>
  <c r="K8" i="3"/>
  <c r="J12" i="3"/>
  <c r="K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C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1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15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16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1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20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Допущение: верхняя граница диапазона 1,2-3,0 чел./кв. по ГОСТ Р 52941-2008</t>
        </r>
      </text>
    </comment>
    <comment ref="C2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Диапазон 4-8 %; по прил. Д СП 267 — 3-5 %</t>
        </r>
      </text>
    </comment>
    <comment ref="C2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Допущение: источник не предоставлен пользователем</t>
        </r>
      </text>
    </comment>
    <comment ref="C30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Диапазон 0,7-0,9 по прил. А ГОСТ Р 52941-2008</t>
        </r>
      </text>
    </comment>
    <comment ref="C3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Диапазон 1,05-1,10 по п. А.2.6 г прил. А ГОСТ Р 52941-2008; принята нижняя граница</t>
        </r>
      </text>
    </comment>
    <comment ref="C3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Дверной проем менее 1000 мм: диапазон 1,5-2,0 с</t>
        </r>
      </text>
    </comment>
    <comment ref="C3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Прил. А ГОСТ Р 52941-2008</t>
        </r>
      </text>
    </comment>
    <comment ref="C34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Прил. А ГОСТ Р 52941-2008</t>
        </r>
      </text>
    </comment>
    <comment ref="C35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Паспортная вместимость типовой кабины 630-640 кг — 8 чел.; по формуле прил. А ГОСТ Р 52941-2008 (640/75 = 8,53, округление до ближайшего целого) — 9 чел.; подтвердить паспортом лифта (лист «Допущения»)</t>
        </r>
      </text>
    </comment>
    <comment ref="C37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Предыдущая редакция ТЗ</t>
        </r>
      </text>
    </comment>
    <comment ref="D3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Середины диапазонов табл. прил. А ГОСТ Р 52941-2008 (3,5 и 4,0 м/с — интерполяция)</t>
        </r>
      </text>
    </comment>
    <comment ref="C4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4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4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  <comment ref="C47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Подтверждено пользователем, 30.09.2026</t>
        </r>
      </text>
    </comment>
  </commentList>
</comments>
</file>

<file path=xl/sharedStrings.xml><?xml version="1.0" encoding="utf-8"?>
<sst xmlns="http://schemas.openxmlformats.org/spreadsheetml/2006/main" count="272" uniqueCount="230">
  <si>
    <t>ИСХОДНЫЕ ДАННЫЕ И ПАРАМЕТРЫ МЕТОДИКИ (ГОСТ Р 52941-2008, прил. А)</t>
  </si>
  <si>
    <t>Высота надземного этажа, м</t>
  </si>
  <si>
    <t>Подтверждено пользователем, 30.09.2026</t>
  </si>
  <si>
    <t>Высота подземного этажа, м</t>
  </si>
  <si>
    <t>Отметка пола верхнего уровня холла 1-го этажа, м</t>
  </si>
  <si>
    <t>Верхняя остановка зоны 1 (этаж)</t>
  </si>
  <si>
    <t>Верхняя остановка зоны 2 (этаж)</t>
  </si>
  <si>
    <t>Нижний жилой этаж</t>
  </si>
  <si>
    <t>Межэтажных расстояний до верхней остановки З1</t>
  </si>
  <si>
    <t>Межэтажных расстояний до верхней остановки З2 (вкл. тех. этаж)</t>
  </si>
  <si>
    <t>Высота подъема зоны 1 H, м</t>
  </si>
  <si>
    <t>Высота подъема зоны 2 H, м</t>
  </si>
  <si>
    <t>Квартир всего</t>
  </si>
  <si>
    <t>Квартир в группе этажей 2-10</t>
  </si>
  <si>
    <t>Этажей в группе 2-10</t>
  </si>
  <si>
    <t>Жилых этажей зоны 1 (2-7)</t>
  </si>
  <si>
    <t>Жилых этажей зоны 2 (8-13, 15-31)</t>
  </si>
  <si>
    <t>Квартир в зоне 1</t>
  </si>
  <si>
    <t>Квартир в зоне 2</t>
  </si>
  <si>
    <t>Жителей на квартиру, чел.</t>
  </si>
  <si>
    <t>Допущение: верхняя граница диапазона 1,2-3,0 чел./кв. по ГОСТ Р 52941-2008</t>
  </si>
  <si>
    <t>Население зоны 1, чел.</t>
  </si>
  <si>
    <t>Население зоны 2, чел.</t>
  </si>
  <si>
    <t>Расчетный пик (верхняя граница ГОСТ Р 52941-2008)</t>
  </si>
  <si>
    <t>Диапазон 4-8 %; по прил. Д СП 267 — 3-5 %</t>
  </si>
  <si>
    <t>Расчетный пик для сопоставления (СП 267)</t>
  </si>
  <si>
    <t>Допущение: источник не предоставлен пользователем</t>
  </si>
  <si>
    <t>Pчас зоны 1 при пике 8 %, чел./ч</t>
  </si>
  <si>
    <t>Pчас зоны 1 при пике 5 %, чел./ч</t>
  </si>
  <si>
    <t>Pчас зоны 2 при пике 8 %, чел./ч</t>
  </si>
  <si>
    <t>Pчас зоны 2 при пике 5 %, чел./ч</t>
  </si>
  <si>
    <t>Kв (коэф. вероятной высоты подъема)</t>
  </si>
  <si>
    <t>Диапазон 0,7-0,9 по прил. А ГОСТ Р 52941-2008</t>
  </si>
  <si>
    <t>Kt (коэф. доп. задержек)</t>
  </si>
  <si>
    <t>Диапазон 1,05-1,10 по п. А.2.6 г прил. А ГОСТ Р 52941-2008; принята нижняя граница</t>
  </si>
  <si>
    <t>Δt (вход/выход одного пассажира), с</t>
  </si>
  <si>
    <t>Дверной проем менее 1000 мм: диапазон 1,5-2,0 с</t>
  </si>
  <si>
    <t>γп (доля загрузки при подъеме)</t>
  </si>
  <si>
    <t>Прил. А ГОСТ Р 52941-2008</t>
  </si>
  <si>
    <t>γс (доля загрузки при спуске)</t>
  </si>
  <si>
    <t>E 640 кг, чел.</t>
  </si>
  <si>
    <t>Паспортная вместимость типовой кабины 630-640 кг — 8 чел.; по формуле прил. А ГОСТ Р 52941-2008 (640/75 = 8,53, округление до ближайшего целого) — 9 чел.; подтвердить паспортом лифта (лист «Допущения»)</t>
  </si>
  <si>
    <t>E 1000 кг, чел.</t>
  </si>
  <si>
    <t>Целевой интервал ТЗ, с</t>
  </si>
  <si>
    <t>Предыдущая редакция ТЗ</t>
  </si>
  <si>
    <t>Скорость, м/с</t>
  </si>
  <si>
    <t>t1+t2+t3, с (середины диапазонов табл. прил. А)</t>
  </si>
  <si>
    <t>Возможные пункты назначения (для расчета числа остановок)</t>
  </si>
  <si>
    <t>Зона 1: N вверх (этажи 2-7)</t>
  </si>
  <si>
    <t>Зона 1: N вниз (+ паркинг -1, -2 и верхний уровень холла)</t>
  </si>
  <si>
    <t>Зона 2: N вверх (этажи 8-13, 15-31)</t>
  </si>
  <si>
    <t>Зона 2: N вниз (+ паркинг -1, -2 и верхний уровень холла)</t>
  </si>
  <si>
    <t>РАСЧЕТ ЗОНЫ 1 (жилые этажи 2-7; 249 чел.)</t>
  </si>
  <si>
    <t>Тип лифта</t>
  </si>
  <si>
    <t>E, чел.</t>
  </si>
  <si>
    <t>P вверх</t>
  </si>
  <si>
    <t>P вниз</t>
  </si>
  <si>
    <t>Nост</t>
  </si>
  <si>
    <t>640 кг</t>
  </si>
  <si>
    <t>1000 кг (пожарный)</t>
  </si>
  <si>
    <t>Конфигурация</t>
  </si>
  <si>
    <t>V 640, м/с</t>
  </si>
  <si>
    <t>V 1000, м/с</t>
  </si>
  <si>
    <t>n 640</t>
  </si>
  <si>
    <t>n 1000</t>
  </si>
  <si>
    <t>T 640, с</t>
  </si>
  <si>
    <t>T 1000, с</t>
  </si>
  <si>
    <t>ΣPл, чел./ч</t>
  </si>
  <si>
    <t>Kр при 8 %</t>
  </si>
  <si>
    <t>Kр при 5 %</t>
  </si>
  <si>
    <t>tи, с</t>
  </si>
  <si>
    <t>Уровень комфортности</t>
  </si>
  <si>
    <t>H/V 640, с</t>
  </si>
  <si>
    <t>H/V 1000, с</t>
  </si>
  <si>
    <t>1×640 + 1×1000 (пожарный) — база</t>
  </si>
  <si>
    <t>то же на скорости 2,5 м/с</t>
  </si>
  <si>
    <t>то же на скорости 4,0 м/с</t>
  </si>
  <si>
    <t>2×640 + 1×1000 (пожарный) — 3 лифта, 1,6 м/с</t>
  </si>
  <si>
    <t>2×640 + 1×1000 (пожарный) — 3 лифта, 2,5 м/с</t>
  </si>
  <si>
    <t>только 640 (пожарный не участвует) — справочно</t>
  </si>
  <si>
    <t>РАСЧЕТ ЗОНЫ 2 (жилые этажи 8-13, 15-31; 600 чел.)</t>
  </si>
  <si>
    <t>3×640 @2,5 + 2×1000 @2,5</t>
  </si>
  <si>
    <t>3×640 @2,5 + 2×1000 @3,5 — БАЗА</t>
  </si>
  <si>
    <t>3×640 @3,5 + 2×1000 @3,5</t>
  </si>
  <si>
    <t>3×640 @2,5 + 2×1000 @4,0</t>
  </si>
  <si>
    <t>3×640 @4,0 + 2×1000 @4,0</t>
  </si>
  <si>
    <t>справочно: 3×640 @2,5 (пожарные не участвуют)</t>
  </si>
  <si>
    <t>справочно: 4×640 @2,5</t>
  </si>
  <si>
    <t>справочно: 4×1000 @3,5 (без участия 640)</t>
  </si>
  <si>
    <t>ПРОВЕРКИ (TRUE — проверка пройдена; FALSE с пояснением — ожидаемая ситуация)</t>
  </si>
  <si>
    <t>E_640 = 8 чел. (паспортная вместимость; по формуле прил. А ГОСТ — 9 чел., см. Допущения)</t>
  </si>
  <si>
    <t>E_1000 = 1000/75 (округление вниз)</t>
  </si>
  <si>
    <t>Население: зона 1 + зона 2 = всего</t>
  </si>
  <si>
    <t>Высота подъема зоны 1 = 36,6 м (+/-0,01)</t>
  </si>
  <si>
    <t>Высота подъема зоны 2 = 126,3 м (+/-0,01)</t>
  </si>
  <si>
    <t>Зона 2 (база, стр. 9: 3×640 @2,5 + 2×1000 @3,5): tи &lt;= 50 с (ТЗ)</t>
  </si>
  <si>
    <t>Зона 2 (база): Kр &lt;= 1,0</t>
  </si>
  <si>
    <t>Зона 1 (база, стр. 8, 2 лифта): tи &lt;= 50 с (ТЗ)</t>
  </si>
  <si>
    <t>Ожидалось FALSE: при двух лифтах целевой интервал недостижим при любой скорости; решение — третий лифт или пересмотр критерия (см. Выводы)</t>
  </si>
  <si>
    <t>Зона 1 (3 лифта 2×640+1×1000, 1,6 м/с): tи &lt;= 50 с</t>
  </si>
  <si>
    <t>Зона 1 (база): Kр &lt;= 1,0</t>
  </si>
  <si>
    <t>Зона 2 (база): H/V 1000 кг &lt;= 40 с (прил. Б)</t>
  </si>
  <si>
    <t>Зона 2 (база): H/V 640 кг &lt;= 40 с (прил. Б)</t>
  </si>
  <si>
    <t>Ожидалось FALSE: 640 кг @2,5 м/с вне прил. Б (для 126,3 м требуется не менее 3,2 м/с); обосновать моделированием или принять 3,5 м/с</t>
  </si>
  <si>
    <t>ВЫВОДЫ И РЕКОМЕНДАЦИИ (конфигурация v5)</t>
  </si>
  <si>
    <t>Зона 1 (1×640 пасс. + 1×1000 пожарный, 1,6 м/с): провозная способность с запасом (Kр = 0,42 при пике 8 %), интервал 77,4 с — «хороший» уровень. Повышение скорости интервал не улучшает (малая высота подъема, доминируют остановки); целевой &lt;= 50 с при двух лифтах недостижим.</t>
  </si>
  <si>
    <t>Зона 1, критерий ТЗ &lt;= 50 с: достижим только при трех лифтах — 2×640 + 1×1000 (пожарный) при 1,6 м/с дает tи = 49,5 с (Kр = 0,29). Альтернатива — пересмотр целевого интервала на нормативный уровень «хороший» (60-80 с).</t>
  </si>
  <si>
    <t>Зона 2 (3×640 @2,5 + 2×1000 пожарных @3,5): провозная способность с запасом (Kр = 0,67 при пике 8 %), интервал 48,8 с &lt;= 50 с — целевой критерий ТЗ выполнен («отличный» уровень).</t>
  </si>
  <si>
    <t>Скорость 3,5 м/с для лифтов 1000 кг зоны 2 — для соответствия прил. Б (H/V = 36,1 с &lt;= 40 с). Для 640 кг зоны 2 H/V = 50,5 с превышает справочные пределы — обосновать моделированием (п. 5.2 ГОСТ Р 52941-2008) или принять 3,5/3,5 (tи = 46,5 с, полное соответствие прил. Б; кабина 640 кг на 3,5 м/с — редкое исполнение).</t>
  </si>
  <si>
    <t>Пожарные лифты: 3 шт. x 1000 кг (1 в зоне 1, 2 в зоне 2) — требование п. 8.1 СП 550.1311500.2026 «не менее двух» выполняется с запасом (СП 477.1325800.2020 отменен с 16.07.2026; высота здания ≈ 125 м — менее 150 м, требование «не менее трех» не применяется); в каждой зоне минимум один лифт для пожарных. При строгой трактовке «не менее двух в каждой из зон» для зоны 1 требуется второй — подтвердить при экспертизе.</t>
  </si>
  <si>
    <t>Критическое условие: участие лифтов для пожарных в пассажирском обслуживании в нормальном режиме (зафиксировать в ТЗ и экспликации). Без участия: зона 1 — Kр = 0,95, tи = 137,6 с; зона 2 — Kр = 1,23 (не проходит).</t>
  </si>
  <si>
    <t>Для кабин 640 кг: кабина с глубиной или шириной 2100 мм (перевозка на носилках, п. 5.3 ГОСТ Р 52941-2008); ширина лифтового холла не менее 2,1 м при глубине кабины 2100 мм (п. 5.13 СП 54.13330.2022).</t>
  </si>
  <si>
    <t>Окончательную проверку выполнить моделированием вертикального транспорта (п. 5.2 ГОСТ Р 52941-2008).</t>
  </si>
  <si>
    <t>Допущения, подлежащие уточнению: равномерное распределение квартир (зона 1 — 83 кв., зона 2 — 200 кв.); отметка верхнего уровня холла +6,000 м; лифты для пожарных участвуют в нормальном режиме; скорости — по подбору (зона 1 — 1,6 м/с; зона 2 — 2,5/3,5 м/с); Kt = 1,05 — нижняя граница нормативного диапазона 1,05-1,10 (п. А.2.6 г прил. А ГОСТ Р 52941-2008); при Kt = 1,10 интервалы возрастают на ~4,8 %: зона 2 — 51,1 с (за пределом целевых 50 с); Δt = 1,5 с — нижняя граница диапазона; пик — 8 % (верхняя граница ГОСТ Р 52941-2008).</t>
  </si>
  <si>
    <t>Проверка допущений — лист «Допущения»: ключевой риск — вместимость 640 кг (принято 8 чел., по формуле прил. А ГОСТ — 9 чел.). При E = 9 зона 2 не проходит целевой интервал 50 с (tи = 52,5 с; 3,5/3,5 — 50,6 с), зона 1 выходит из «хорошего» (81,9 с). Резерв при E = 9 — 4-й лифт 640 кг в зоне 2 (tи = 43,3 с). Обязательны моделирование и паспорт оборудования.</t>
  </si>
  <si>
    <t>Актуальность нормативов проверена 30.09.2026: СП 477.1325800.2020 отменен с 16.07.2026, действует СП 550.1311500.2026 (п. 8.1/8.2); ГОСТ 33984.1-2016 заменен ГОСТ 33984.1-2023 (с 01.11.2024); ГОСТ Р 51631-2008 заменен ГОСТ 33652-2019; ГОСТ 5746-2003 утратил силу в РФ — применяется ГОСТ 5746-2015. Полный перечень — лист «Нормативы».</t>
  </si>
  <si>
    <t>Новое требование п. 8.2 СП 550.1311500.2026: лифты, связывающие подземный паркинг с надземной частью (все лифты зон 1 и 2), должны иметь исполнение по ГОСТ Р 53296 либо выделить отдельные парковочные лифты с верхней остановкой не выше 1-го этажа — учесть в ТЗ и спецификации оборудования.</t>
  </si>
  <si>
    <t>ПРОВЕРКА ДОПУЩЕНИЙ (анализ чувствительности к границам нормативных диапазонов)</t>
  </si>
  <si>
    <t>Допущение</t>
  </si>
  <si>
    <t>Нормативная основа</t>
  </si>
  <si>
    <t>Принято</t>
  </si>
  <si>
    <t>Чувствительность (к границе диапазона)</t>
  </si>
  <si>
    <t>Статус</t>
  </si>
  <si>
    <t>Население 3 чел./кв.</t>
  </si>
  <si>
    <t>ГОСТ Р 52941-2008: 1,2-3,0 чел./кв.</t>
  </si>
  <si>
    <t>Верхняя граница</t>
  </si>
  <si>
    <t>—</t>
  </si>
  <si>
    <t>Консервативно</t>
  </si>
  <si>
    <t>Пик 8 %</t>
  </si>
  <si>
    <t>ГОСТ Р 52941-2008: 4-8 %; прил. Д СП 267: 3-5 %</t>
  </si>
  <si>
    <t>Kt = 1,05</t>
  </si>
  <si>
    <t>Прил. А, п. А.2.6 г): 1,05-1,10</t>
  </si>
  <si>
    <t>1,05 (нижняя)</t>
  </si>
  <si>
    <t>1,10 → зона 2: tи = 51,1 с (за целевыми 50 с); зона 1: 81,1 с</t>
  </si>
  <si>
    <t>Критично для зоны 2; подтвердить моделированием</t>
  </si>
  <si>
    <t>Kв = 0,8</t>
  </si>
  <si>
    <t>Прил. А: 0,7-0,9</t>
  </si>
  <si>
    <t>0,8 (середина)</t>
  </si>
  <si>
    <t>0,9 → зона 2: 50,8 с (за целевыми); зона 1: 79,8 с; 0,7 → 46,8 с (запас)</t>
  </si>
  <si>
    <t>На границе; уточнить при моделировании</t>
  </si>
  <si>
    <t>Δt = 1,5 с</t>
  </si>
  <si>
    <t>Прил. А: 1,5-2,0 с (проем &lt; 1000 мм); 0,8-1,2 с (проем &gt; 1000 мм)</t>
  </si>
  <si>
    <t>1,5 с (нижняя для узких дверей)</t>
  </si>
  <si>
    <t>2,0 → зона 2: 50,0 с (на границе); зона 1: 80,5 с. Для кабин 1000 кг с проемом &gt; 1000 мм фактическое Δt ниже — принятая величина консервативна</t>
  </si>
  <si>
    <t>Приемлемо</t>
  </si>
  <si>
    <t>t1+t2+t3</t>
  </si>
  <si>
    <t>Табл. прил. А ГОСТ Р 52941-2008</t>
  </si>
  <si>
    <t>Середины диапазонов (для 3,5 и 4,0 м/с — интерполяция)</t>
  </si>
  <si>
    <t>E 640 кг = 8 чел.</t>
  </si>
  <si>
    <t>Прил. А: E = 640/75 = 8,53, округление до ближайшего целого → 9 чел.</t>
  </si>
  <si>
    <t>8 чел. — паспортная вместимость типовой кабины 630-640 кг</t>
  </si>
  <si>
    <t>E = 9 → зона 2: 52,5 с (за целевыми; 3,5/3,5 — 50,6 с); зона 1: 81,9 с (2 лифта) / 53,3 с (3 лифта); Kр практически не меняется (0,67)</t>
  </si>
  <si>
    <t>Ключевой риск по интервалу; подтвердить паспортом лифта; при E = 9 — 4-й лифт 640 кг в зоне 2 (tи = 43,3 с)</t>
  </si>
  <si>
    <t>E 1000 кг = 13 чел.</t>
  </si>
  <si>
    <t>Прил. А: 1000/75 = 13,3 → 13 чел.</t>
  </si>
  <si>
    <t>13 чел.</t>
  </si>
  <si>
    <t>Совпадает с формулой ГОСТ</t>
  </si>
  <si>
    <t>γп = 0,8; γс = 0,4</t>
  </si>
  <si>
    <t>Прил. А, п. А.2.5 (двухсторонний жилой поток)</t>
  </si>
  <si>
    <t>По нормативу</t>
  </si>
  <si>
    <t>Соответствует нормативу</t>
  </si>
  <si>
    <t>P = γ·E округляется до целого</t>
  </si>
  <si>
    <t>Прил. А, п. А.2.6 в)</t>
  </si>
  <si>
    <t>6/3 (640 кг); 10/5 (1000 кг)</t>
  </si>
  <si>
    <t>Соответствует методике</t>
  </si>
  <si>
    <t>Интервал смешанной группы</t>
  </si>
  <si>
    <t>Обобщение формулы А.1.9</t>
  </si>
  <si>
    <t>tи = 3600/Σ(n·3600/T)</t>
  </si>
  <si>
    <t>При одинаковых лифтах совпадает с А.1.9</t>
  </si>
  <si>
    <t>Отразить в пояснительной записке к расчету</t>
  </si>
  <si>
    <t>H/V ≤ 40 с (прил. Б)</t>
  </si>
  <si>
    <t>Прил. Б (справочное) ГОСТ Р 52941-2008</t>
  </si>
  <si>
    <t>640 кг зоны 2: 50,5 с при 2,5 м/с</t>
  </si>
  <si>
    <t>3,5/3,5 → 36,1 с (соответствует)</t>
  </si>
  <si>
    <t>Обосновать моделированием или принять 3,5 м/с</t>
  </si>
  <si>
    <t>Участие пожарных лифтов в нормальном режиме</t>
  </si>
  <si>
    <t>Практика проектирования; ГОСТ 34305-2017 (лифты для пожарных); ГОСТ Р 53296-2009</t>
  </si>
  <si>
    <t>Учитываются в балансе</t>
  </si>
  <si>
    <t>Без участия: зона 2 — Kр = 1,23 (не проходит); зона 1 — 137,6 с</t>
  </si>
  <si>
    <t>Зафиксировать в ТЗ и экспликации</t>
  </si>
  <si>
    <t>Наихудшая совокупность (Kt = 1,10; Kв = 0,9; Δt = 2,0; E = 9)</t>
  </si>
  <si>
    <t>Зона 2: tи = 58,4 с; зона 1 (2 лифта): 91,9 с; зона 1 (3 лифта): 59,7 с</t>
  </si>
  <si>
    <t>Целевые ≤ 50 с — на границе достижимого; моделирование обязательно; резерв — 4-й лифт 640 кг в зоне 2 (48,2 с)</t>
  </si>
  <si>
    <t>Ключевой результат: при E = 9 чел. для 640 кг (по формуле прил. А ГОСТ Р 52941-2008) зона 2 не проходит целевой интервал ≤ 50 с, зона 1 выходит из уровня «хороший». Принятые значения — в границах нормативных диапазонов, однако целевой интервал достигается на совокупности принятых значений: обязательны моделирование (п. 5.2 ГОСТ Р 52941-2008) и подтверждение вместимостей паспортом оборудования.</t>
  </si>
  <si>
    <t>ПЕРЕЧЕНЬ ИСПОЛЬЗУЕМЫХ НОРМАТИВНЫХ ДОКУМЕНТОВ (статусы проверены на 30.09.2026)</t>
  </si>
  <si>
    <t>Обозначение</t>
  </si>
  <si>
    <t>Наименование</t>
  </si>
  <si>
    <t>Статус на 30.09.2026</t>
  </si>
  <si>
    <t>Применение в расчете</t>
  </si>
  <si>
    <t>ГОСТ Р 52941-2008 (ИСО 4190-6:1984)</t>
  </si>
  <si>
    <t>Лифты пассажирские. Проектирование систем вертикального транспорта в жилых зданиях</t>
  </si>
  <si>
    <t>Действует (каталог Росстандарта; данные актуализированы 03.08.2026)</t>
  </si>
  <si>
    <t>Основной норматив: методика расчета (прил. А), уровни комфортности (разд. 5), требования к кабинетам (п. 5.3), H/V (прил. Б), моделирование (п. 5.2)</t>
  </si>
  <si>
    <t>СП 550.1311500.2026</t>
  </si>
  <si>
    <t>Здания высотные. Требования пожарной безопасности</t>
  </si>
  <si>
    <t>Действует с 01.06.2026 (приказ МЧС России от 26.02.2026 № 137; взамен СП 477.1325800.2020, отмененного с 16.07.2026)</t>
  </si>
  <si>
    <t>Требования к лифтовому оборудованию (разд. 8): не менее двух лифтов для пожарных (при зонной схеме — в каждой из зоне), ГП не менее 1000 кг, обособленные шахты; связь подземной и надземной частей (п. 8.2); огнестойкость шахт (табл. 6.1)</t>
  </si>
  <si>
    <t>СП 54.13330.2022</t>
  </si>
  <si>
    <t>Здания жилые многоквартирные (СНиП 31-01-2003)</t>
  </si>
  <si>
    <t>Действует (с Изм. № 1 от 19.09.2024 № 630/пр, Изм. № 2 от 27.12.2024 № 938/пр)</t>
  </si>
  <si>
    <t>Ширина лифтовых холлов (п. 5.13); минимальное число лифтов (прил. В)</t>
  </si>
  <si>
    <t>СП 267.1325800.2016</t>
  </si>
  <si>
    <t>Здания и комплексы высотные. Правила проектирования</t>
  </si>
  <si>
    <t>Действует (с Изм. № 1 от 30.12.2020 № 918/пр, Изм. № 2 от 27.12.2024 № 951/пр, Изм. № 3; ред. с 28.01.2025)</t>
  </si>
  <si>
    <t>Применимость при высоте более 75 м; зонная схема лифтов (п. 10.8.1.3 с Изм. № 1); пассажиропотоки (прил. Д)</t>
  </si>
  <si>
    <t>ГОСТ 33984.1-2023</t>
  </si>
  <si>
    <t>Лифты. Лифты для транспортирования людей или людей и грузов. Общие требования безопасности к устройству и установке</t>
  </si>
  <si>
    <t>Действует с 01.11.2024 (взамен ГОСТ 33984.1-2016 (EN 81-20:2014); приказ Росстандарта от 08.11.2023 № 1352-ст)</t>
  </si>
  <si>
    <t>Общие требования безопасности к пассажирским лифтам</t>
  </si>
  <si>
    <t>ГОСТ 34305-2017 (EN 81-72:2015)</t>
  </si>
  <si>
    <t>Лифты пассажирские. Лифты для пожарных</t>
  </si>
  <si>
    <t>Действует с 01.03.2019 (приказ Росстандарта от 25.09.2018 № 649-ст; взамен отмененного с 15.02.2020 ГОСТ Р 52382-2010)</t>
  </si>
  <si>
    <t>Требования к лифтам для пожарных (в т.ч. скорость доставки пожарных на верхний этаж не более 60 с — п. 5.2.3)</t>
  </si>
  <si>
    <t>ГОСТ Р 53296-2009</t>
  </si>
  <si>
    <t>Установка лифтов для пожарных в зданиях и сооружениях. Требования пожарной безопасности</t>
  </si>
  <si>
    <t>Действует (в разработке Изм. № 1 — ВНИИПО МЧС России)</t>
  </si>
  <si>
    <t>Требования к установке лифтов для пожарных; ссылочный норматив СП 550 (п. 8.1, 8.2)</t>
  </si>
  <si>
    <t>ГОСТ 5746-2015 (ISO 4190-1:2010)</t>
  </si>
  <si>
    <t>Лифты пассажирские. Основные параметры и размеры</t>
  </si>
  <si>
    <t>Действует в РФ (ГОСТ 5746-2003 утратил силу в РФ с 01.06.2010)</t>
  </si>
  <si>
    <t>Параметры и размеры пассажирских лифтов; ссылочный норматив ГОСТ Р 52941-2008 и ГОСТ 34305-2017</t>
  </si>
  <si>
    <t>ГОСТ 33652-2019 (EN 81-70:2018)</t>
  </si>
  <si>
    <t>Лифты. Специальные требования безопасности и доступности для инвалидов и других маломобильных групп населения</t>
  </si>
  <si>
    <t>Действует (взамен ГОСТ Р 51631-2008 с 01.01.2017 и ГОСТ 33652-2015 с 01.06.2020)</t>
  </si>
  <si>
    <t>Доступность пассажирских лифтов для МГН (кабины 2100 мм)</t>
  </si>
  <si>
    <t>СП 59.13330.2020</t>
  </si>
  <si>
    <t>Доступность зданий и сооружений для маломобильных групп населения (СНиП 35-01-2001)</t>
  </si>
  <si>
    <t>Действует (с Изм. № 1-4: 31.05.2022 № 434/пр; 21.11.2023 № 833/пр; 19.09.2024 № 630/пр; 27.12.2024 № 938/пр)</t>
  </si>
  <si>
    <t>Доступность здания и лифтового узла для МГН</t>
  </si>
  <si>
    <t>В расчете не применяются отмененные документы: СП 477.1325800.2020 (отменен с 16.07.2026), ГОСТ 33984.1-2016, ГОСТ Р 51631-2008, ГОСТ 33652-2015, ГОСТ Р 52382-2010, ГОСТ 5746-2003 (утратил силу в РФ с 01.06.2010). Их положения учтены через действующие документы-замены.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</si>
</sst>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i/>
      <sz val="9"/>
      <name val="Calibri"/>
    </font>
    <font>
      <b/>
      <sz val="11"/>
      <name val="Calibri"/>
    </font>
    <font>
      <sz val="11"/>
      <color rgb="FF0061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0" fillId="0" borderId="0" xfId="0" applyNumberFormat="1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/>
  </sheetViews>
  <sheetFormatPr defaultRowHeight="15" x14ac:dyDescent="0.25"/>
  <cols>
    <col min="1" max="1" width="4" customWidth="1"/>
    <col min="2" max="2" width="52" customWidth="1"/>
    <col min="3" max="3" width="12" customWidth="1"/>
    <col min="4" max="4" width="46" customWidth="1"/>
  </cols>
  <sheetData>
    <row r="1" spans="1:4" x14ac:dyDescent="0.25">
      <c r="A1" s="12" t="s">
        <v>0</v>
      </c>
      <c r="B1" s="11"/>
      <c r="C1" s="11"/>
      <c r="D1" s="11"/>
    </row>
    <row r="3" spans="1:4" x14ac:dyDescent="0.25">
      <c r="B3" t="s">
        <v>1</v>
      </c>
      <c r="C3" s="2">
        <v>3.9</v>
      </c>
      <c r="D3" s="3" t="s">
        <v>2</v>
      </c>
    </row>
    <row r="4" spans="1:4" x14ac:dyDescent="0.25">
      <c r="B4" t="s">
        <v>3</v>
      </c>
      <c r="C4" s="2">
        <v>3.6</v>
      </c>
      <c r="D4" s="3" t="s">
        <v>2</v>
      </c>
    </row>
    <row r="5" spans="1:4" x14ac:dyDescent="0.25">
      <c r="B5" t="s">
        <v>4</v>
      </c>
      <c r="C5" s="2">
        <v>6</v>
      </c>
      <c r="D5" s="3" t="s">
        <v>2</v>
      </c>
    </row>
    <row r="6" spans="1:4" x14ac:dyDescent="0.25">
      <c r="B6" t="s">
        <v>5</v>
      </c>
      <c r="C6" s="2">
        <v>8</v>
      </c>
      <c r="D6" s="3" t="s">
        <v>2</v>
      </c>
    </row>
    <row r="7" spans="1:4" x14ac:dyDescent="0.25">
      <c r="B7" t="s">
        <v>6</v>
      </c>
      <c r="C7" s="2">
        <v>31</v>
      </c>
      <c r="D7" s="3" t="s">
        <v>2</v>
      </c>
    </row>
    <row r="8" spans="1:4" x14ac:dyDescent="0.25">
      <c r="B8" t="s">
        <v>7</v>
      </c>
      <c r="C8" s="2">
        <v>2</v>
      </c>
      <c r="D8" s="3" t="s">
        <v>2</v>
      </c>
    </row>
    <row r="9" spans="1:4" x14ac:dyDescent="0.25">
      <c r="B9" t="s">
        <v>8</v>
      </c>
      <c r="C9">
        <f>C6-C8</f>
        <v>6</v>
      </c>
    </row>
    <row r="10" spans="1:4" x14ac:dyDescent="0.25">
      <c r="B10" t="s">
        <v>9</v>
      </c>
      <c r="C10">
        <f>C7-C8</f>
        <v>29</v>
      </c>
    </row>
    <row r="11" spans="1:4" x14ac:dyDescent="0.25">
      <c r="B11" t="s">
        <v>10</v>
      </c>
      <c r="C11">
        <f>C5+C9*C3+2*C4</f>
        <v>36.6</v>
      </c>
    </row>
    <row r="12" spans="1:4" x14ac:dyDescent="0.25">
      <c r="B12" t="s">
        <v>11</v>
      </c>
      <c r="C12">
        <f>C5+C10*C3+2*C4</f>
        <v>126.3</v>
      </c>
    </row>
    <row r="13" spans="1:4" x14ac:dyDescent="0.25">
      <c r="B13" t="s">
        <v>12</v>
      </c>
      <c r="C13" s="2">
        <v>283</v>
      </c>
      <c r="D13" s="3" t="s">
        <v>2</v>
      </c>
    </row>
    <row r="14" spans="1:4" x14ac:dyDescent="0.25">
      <c r="B14" t="s">
        <v>13</v>
      </c>
      <c r="C14" s="2">
        <v>125</v>
      </c>
      <c r="D14" s="3" t="s">
        <v>2</v>
      </c>
    </row>
    <row r="15" spans="1:4" x14ac:dyDescent="0.25">
      <c r="B15" t="s">
        <v>14</v>
      </c>
      <c r="C15" s="2">
        <v>9</v>
      </c>
      <c r="D15" s="3" t="s">
        <v>2</v>
      </c>
    </row>
    <row r="16" spans="1:4" x14ac:dyDescent="0.25">
      <c r="B16" t="s">
        <v>15</v>
      </c>
      <c r="C16" s="2">
        <v>6</v>
      </c>
      <c r="D16" s="3" t="s">
        <v>2</v>
      </c>
    </row>
    <row r="17" spans="2:4" x14ac:dyDescent="0.25">
      <c r="B17" t="s">
        <v>16</v>
      </c>
      <c r="C17" s="2">
        <v>23</v>
      </c>
      <c r="D17" s="3" t="s">
        <v>2</v>
      </c>
    </row>
    <row r="18" spans="2:4" x14ac:dyDescent="0.25">
      <c r="B18" t="s">
        <v>17</v>
      </c>
      <c r="C18">
        <f>ROUND(C14*C16/C15,0)</f>
        <v>83</v>
      </c>
    </row>
    <row r="19" spans="2:4" x14ac:dyDescent="0.25">
      <c r="B19" t="s">
        <v>18</v>
      </c>
      <c r="C19">
        <f>C13-C18</f>
        <v>200</v>
      </c>
    </row>
    <row r="20" spans="2:4" x14ac:dyDescent="0.25">
      <c r="B20" t="s">
        <v>19</v>
      </c>
      <c r="C20" s="2">
        <v>3</v>
      </c>
      <c r="D20" s="3" t="s">
        <v>20</v>
      </c>
    </row>
    <row r="21" spans="2:4" x14ac:dyDescent="0.25">
      <c r="B21" t="s">
        <v>21</v>
      </c>
      <c r="C21">
        <f>C18*C20</f>
        <v>249</v>
      </c>
    </row>
    <row r="22" spans="2:4" x14ac:dyDescent="0.25">
      <c r="B22" t="s">
        <v>22</v>
      </c>
      <c r="C22">
        <f>C19*C20</f>
        <v>600</v>
      </c>
    </row>
    <row r="23" spans="2:4" x14ac:dyDescent="0.25">
      <c r="B23" t="s">
        <v>23</v>
      </c>
      <c r="C23" s="2">
        <v>0.08</v>
      </c>
      <c r="D23" s="3" t="s">
        <v>24</v>
      </c>
    </row>
    <row r="24" spans="2:4" x14ac:dyDescent="0.25">
      <c r="B24" t="s">
        <v>25</v>
      </c>
      <c r="C24" s="2">
        <v>0.05</v>
      </c>
      <c r="D24" s="3" t="s">
        <v>26</v>
      </c>
    </row>
    <row r="25" spans="2:4" x14ac:dyDescent="0.25">
      <c r="B25" t="s">
        <v>27</v>
      </c>
      <c r="C25">
        <f>C21*C23*12</f>
        <v>239.04000000000002</v>
      </c>
    </row>
    <row r="26" spans="2:4" x14ac:dyDescent="0.25">
      <c r="B26" t="s">
        <v>28</v>
      </c>
      <c r="C26">
        <f>C21*C24*12</f>
        <v>149.4</v>
      </c>
    </row>
    <row r="27" spans="2:4" x14ac:dyDescent="0.25">
      <c r="B27" t="s">
        <v>29</v>
      </c>
      <c r="C27">
        <f>C22*C23*12</f>
        <v>576</v>
      </c>
    </row>
    <row r="28" spans="2:4" x14ac:dyDescent="0.25">
      <c r="B28" t="s">
        <v>30</v>
      </c>
      <c r="C28">
        <f>C22*C24*12</f>
        <v>360</v>
      </c>
    </row>
    <row r="30" spans="2:4" x14ac:dyDescent="0.25">
      <c r="B30" t="s">
        <v>31</v>
      </c>
      <c r="C30" s="2">
        <v>0.8</v>
      </c>
      <c r="D30" s="3" t="s">
        <v>32</v>
      </c>
    </row>
    <row r="31" spans="2:4" x14ac:dyDescent="0.25">
      <c r="B31" t="s">
        <v>33</v>
      </c>
      <c r="C31" s="2">
        <v>1.05</v>
      </c>
      <c r="D31" s="3" t="s">
        <v>34</v>
      </c>
    </row>
    <row r="32" spans="2:4" x14ac:dyDescent="0.25">
      <c r="B32" t="s">
        <v>35</v>
      </c>
      <c r="C32" s="2">
        <v>1.5</v>
      </c>
      <c r="D32" s="3" t="s">
        <v>36</v>
      </c>
    </row>
    <row r="33" spans="2:8" x14ac:dyDescent="0.25">
      <c r="B33" t="s">
        <v>37</v>
      </c>
      <c r="C33" s="2">
        <v>0.8</v>
      </c>
      <c r="D33" s="3" t="s">
        <v>38</v>
      </c>
    </row>
    <row r="34" spans="2:8" x14ac:dyDescent="0.25">
      <c r="B34" t="s">
        <v>39</v>
      </c>
      <c r="C34" s="2">
        <v>0.4</v>
      </c>
      <c r="D34" s="3" t="s">
        <v>38</v>
      </c>
    </row>
    <row r="35" spans="2:8" x14ac:dyDescent="0.25">
      <c r="B35" t="s">
        <v>40</v>
      </c>
      <c r="C35" s="2">
        <v>8</v>
      </c>
      <c r="D35" s="3" t="s">
        <v>41</v>
      </c>
    </row>
    <row r="36" spans="2:8" x14ac:dyDescent="0.25">
      <c r="B36" t="s">
        <v>42</v>
      </c>
      <c r="C36">
        <f>ROUNDDOWN(1000/75,0)</f>
        <v>13</v>
      </c>
    </row>
    <row r="37" spans="2:8" x14ac:dyDescent="0.25">
      <c r="B37" t="s">
        <v>43</v>
      </c>
      <c r="C37" s="2">
        <v>50</v>
      </c>
      <c r="D37" s="3" t="s">
        <v>44</v>
      </c>
    </row>
    <row r="39" spans="2:8" x14ac:dyDescent="0.25">
      <c r="B39" s="11" t="s">
        <v>45</v>
      </c>
      <c r="C39" s="11"/>
      <c r="D39" s="2">
        <v>1</v>
      </c>
      <c r="E39" s="2">
        <v>1.6</v>
      </c>
      <c r="F39" s="2">
        <v>2.5</v>
      </c>
      <c r="G39" s="2">
        <v>3.5</v>
      </c>
      <c r="H39" s="2">
        <v>4</v>
      </c>
    </row>
    <row r="40" spans="2:8" x14ac:dyDescent="0.25">
      <c r="B40" s="11" t="s">
        <v>46</v>
      </c>
      <c r="C40" s="11"/>
      <c r="D40" s="2">
        <v>13.5</v>
      </c>
      <c r="E40" s="2">
        <v>12</v>
      </c>
      <c r="F40" s="2">
        <v>14</v>
      </c>
      <c r="G40" s="2">
        <v>15</v>
      </c>
      <c r="H40" s="2">
        <v>16.5</v>
      </c>
    </row>
    <row r="43" spans="2:8" x14ac:dyDescent="0.25">
      <c r="B43" s="4" t="s">
        <v>47</v>
      </c>
    </row>
    <row r="44" spans="2:8" x14ac:dyDescent="0.25">
      <c r="B44" t="s">
        <v>48</v>
      </c>
      <c r="C44" s="2">
        <v>6</v>
      </c>
    </row>
    <row r="45" spans="2:8" x14ac:dyDescent="0.25">
      <c r="B45" t="s">
        <v>49</v>
      </c>
      <c r="C45" s="2">
        <v>9</v>
      </c>
    </row>
    <row r="46" spans="2:8" x14ac:dyDescent="0.25">
      <c r="B46" t="s">
        <v>50</v>
      </c>
      <c r="C46" s="2">
        <v>23</v>
      </c>
    </row>
    <row r="47" spans="2:8" x14ac:dyDescent="0.25">
      <c r="B47" t="s">
        <v>51</v>
      </c>
      <c r="C47" s="2">
        <v>26</v>
      </c>
    </row>
  </sheetData>
  <mergeCells count="3">
    <mergeCell ref="B39:C39"/>
    <mergeCell ref="A1:D1"/>
    <mergeCell ref="B40:C40"/>
  </mergeCells>
  <pageMargins left="0.75" right="0.75" top="1" bottom="1" header="0.5" footer="0.5"/>
  <pageSetup fitToHeight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/>
  </sheetViews>
  <sheetFormatPr defaultRowHeight="15" x14ac:dyDescent="0.25"/>
  <cols>
    <col min="1" max="1" width="3" customWidth="1"/>
    <col min="2" max="2" width="44" customWidth="1"/>
    <col min="3" max="3" width="10" customWidth="1"/>
    <col min="4" max="4" width="11" customWidth="1"/>
    <col min="5" max="6" width="7" customWidth="1"/>
    <col min="7" max="8" width="9" customWidth="1"/>
    <col min="9" max="9" width="11" customWidth="1"/>
    <col min="10" max="11" width="9" customWidth="1"/>
    <col min="12" max="12" width="8" customWidth="1"/>
    <col min="13" max="13" width="17" customWidth="1"/>
    <col min="14" max="15" width="9" customWidth="1"/>
  </cols>
  <sheetData>
    <row r="1" spans="1:15" x14ac:dyDescent="0.25">
      <c r="A1" s="12" t="s">
        <v>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3" spans="1:15" x14ac:dyDescent="0.25"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</row>
    <row r="4" spans="1:15" x14ac:dyDescent="0.25">
      <c r="B4" t="s">
        <v>58</v>
      </c>
      <c r="C4" s="5">
        <f>E_640</f>
        <v>8</v>
      </c>
      <c r="D4">
        <f>ROUND(GamP*C4,0)</f>
        <v>6</v>
      </c>
      <c r="E4">
        <f>ROUND(GamS*C4,0)</f>
        <v>3</v>
      </c>
      <c r="F4" s="6">
        <f>N_up1*(1-(1-1/N_up1)^D4)+N_dn1*(1-(1-1/N_dn1)^E4)</f>
        <v>6.6696244855967075</v>
      </c>
    </row>
    <row r="5" spans="1:15" x14ac:dyDescent="0.25">
      <c r="B5" t="s">
        <v>59</v>
      </c>
      <c r="C5" s="5">
        <f>E_1000</f>
        <v>13</v>
      </c>
      <c r="D5">
        <f>ROUND(GamP*C5,0)</f>
        <v>10</v>
      </c>
      <c r="E5">
        <f>ROUND(GamS*C5,0)</f>
        <v>5</v>
      </c>
      <c r="F5" s="6">
        <f>N_up1*(1-(1-1/N_up1)^D5)+N_dn1*(1-(1-1/N_dn1)^E5)</f>
        <v>9.0366058869011336</v>
      </c>
    </row>
    <row r="7" spans="1:15" ht="30" x14ac:dyDescent="0.25">
      <c r="B7" s="7" t="s">
        <v>60</v>
      </c>
      <c r="C7" s="7" t="s">
        <v>61</v>
      </c>
      <c r="D7" s="7" t="s">
        <v>62</v>
      </c>
      <c r="E7" s="7" t="s">
        <v>63</v>
      </c>
      <c r="F7" s="7" t="s">
        <v>64</v>
      </c>
      <c r="G7" s="7" t="s">
        <v>65</v>
      </c>
      <c r="H7" s="7" t="s">
        <v>66</v>
      </c>
      <c r="I7" s="7" t="s">
        <v>67</v>
      </c>
      <c r="J7" s="7" t="s">
        <v>68</v>
      </c>
      <c r="K7" s="7" t="s">
        <v>69</v>
      </c>
      <c r="L7" s="7" t="s">
        <v>70</v>
      </c>
      <c r="M7" s="7" t="s">
        <v>71</v>
      </c>
      <c r="N7" s="7" t="s">
        <v>72</v>
      </c>
      <c r="O7" s="7" t="s">
        <v>73</v>
      </c>
    </row>
    <row r="8" spans="1:15" x14ac:dyDescent="0.25">
      <c r="B8" t="s">
        <v>74</v>
      </c>
      <c r="C8" s="2">
        <v>1.6</v>
      </c>
      <c r="D8" s="2">
        <v>1.6</v>
      </c>
      <c r="E8" s="2">
        <v>1</v>
      </c>
      <c r="F8" s="2">
        <v>1</v>
      </c>
      <c r="G8" s="8">
        <f t="shared" ref="G8:G13" si="0">(2*Kv*H_Z1/C8+$F$4*INDEX(T_123,MATCH(C8,SPD,0))+(GamP+GamS)*E_640*Dt)*Kt</f>
        <v>137.58726851851853</v>
      </c>
      <c r="H8" s="8">
        <f t="shared" ref="H8:H13" si="1">(2*Kv*H_Z1/D8+$F$5*INDEX(T_123,MATCH(D8,SPD,0))+(GamP+GamS)*E_1000*Dt)*Kt</f>
        <v>176.86123417495429</v>
      </c>
      <c r="I8" s="9">
        <f t="shared" ref="I8:I13" si="2">E8*3600*(GamP+GamS)*E_640/G8+F8*3600*(GamP+GamS)*E_1000/H8</f>
        <v>568.72311252366842</v>
      </c>
      <c r="J8" s="6">
        <f t="shared" ref="J8:J13" si="3">P_18/I8</f>
        <v>0.42030997991144936</v>
      </c>
      <c r="K8" s="6">
        <f t="shared" ref="K8:K13" si="4">P_15/I8</f>
        <v>0.26269373744465585</v>
      </c>
      <c r="L8" s="8">
        <f t="shared" ref="L8:L13" si="5">1/(E8/G8+F8/H8)</f>
        <v>77.385816464411278</v>
      </c>
      <c r="M8" t="str">
        <f t="shared" ref="M8:M13" si="6">IF(L8&lt;=60,"отличный",IF(L8&lt;=80,"хороший",IF(L8&lt;=100,"удовлетворительный","&gt;100 с")))</f>
        <v>хороший</v>
      </c>
      <c r="N8" s="8">
        <f t="shared" ref="N8:O13" si="7">H_Z1/C8</f>
        <v>22.875</v>
      </c>
      <c r="O8" s="8">
        <f t="shared" si="7"/>
        <v>22.875</v>
      </c>
    </row>
    <row r="9" spans="1:15" x14ac:dyDescent="0.25">
      <c r="B9" t="s">
        <v>75</v>
      </c>
      <c r="C9" s="2">
        <v>2.5</v>
      </c>
      <c r="D9" s="2">
        <v>2.5</v>
      </c>
      <c r="E9" s="2">
        <v>1</v>
      </c>
      <c r="F9" s="2">
        <v>1</v>
      </c>
      <c r="G9" s="8">
        <f t="shared" si="0"/>
        <v>137.75867993827163</v>
      </c>
      <c r="H9" s="8">
        <f t="shared" si="1"/>
        <v>182.00330653744666</v>
      </c>
      <c r="I9" s="9">
        <f t="shared" si="2"/>
        <v>559.43930670471764</v>
      </c>
      <c r="J9" s="6">
        <f t="shared" si="3"/>
        <v>0.42728495680438439</v>
      </c>
      <c r="K9" s="6">
        <f t="shared" si="4"/>
        <v>0.26705309800274024</v>
      </c>
      <c r="L9" s="8">
        <f t="shared" si="5"/>
        <v>78.409993412094295</v>
      </c>
      <c r="M9" t="str">
        <f t="shared" si="6"/>
        <v>хороший</v>
      </c>
      <c r="N9" s="8">
        <f t="shared" si="7"/>
        <v>14.64</v>
      </c>
      <c r="O9" s="8">
        <f t="shared" si="7"/>
        <v>14.64</v>
      </c>
    </row>
    <row r="10" spans="1:15" x14ac:dyDescent="0.25">
      <c r="B10" t="s">
        <v>76</v>
      </c>
      <c r="C10" s="2">
        <v>4</v>
      </c>
      <c r="D10" s="2">
        <v>4</v>
      </c>
      <c r="E10" s="2">
        <v>1</v>
      </c>
      <c r="F10" s="2">
        <v>1</v>
      </c>
      <c r="G10" s="8">
        <f t="shared" si="0"/>
        <v>146.04324421296295</v>
      </c>
      <c r="H10" s="8">
        <f t="shared" si="1"/>
        <v>196.50119699056219</v>
      </c>
      <c r="I10" s="9">
        <f t="shared" si="2"/>
        <v>522.44202268880576</v>
      </c>
      <c r="J10" s="6">
        <f t="shared" si="3"/>
        <v>0.45754359262632466</v>
      </c>
      <c r="K10" s="6">
        <f t="shared" si="4"/>
        <v>0.28596474539145289</v>
      </c>
      <c r="L10" s="8">
        <f t="shared" si="5"/>
        <v>83.777953597505004</v>
      </c>
      <c r="M10" t="str">
        <f t="shared" si="6"/>
        <v>удовлетворительный</v>
      </c>
      <c r="N10" s="8">
        <f t="shared" si="7"/>
        <v>9.15</v>
      </c>
      <c r="O10" s="8">
        <f t="shared" si="7"/>
        <v>9.15</v>
      </c>
    </row>
    <row r="11" spans="1:15" x14ac:dyDescent="0.25">
      <c r="B11" t="s">
        <v>77</v>
      </c>
      <c r="C11" s="2">
        <v>1.6</v>
      </c>
      <c r="D11" s="2">
        <v>1.6</v>
      </c>
      <c r="E11" s="2">
        <v>2</v>
      </c>
      <c r="F11" s="2">
        <v>1</v>
      </c>
      <c r="G11" s="8">
        <f t="shared" si="0"/>
        <v>137.58726851851853</v>
      </c>
      <c r="H11" s="8">
        <f t="shared" si="1"/>
        <v>176.86123417495429</v>
      </c>
      <c r="I11" s="9">
        <f t="shared" si="2"/>
        <v>819.90914428465521</v>
      </c>
      <c r="J11" s="6">
        <f t="shared" si="3"/>
        <v>0.29154449815113948</v>
      </c>
      <c r="K11" s="6">
        <f t="shared" si="4"/>
        <v>0.18221531134446217</v>
      </c>
      <c r="L11" s="8">
        <f t="shared" si="5"/>
        <v>49.52854032987063</v>
      </c>
      <c r="M11" t="str">
        <f t="shared" si="6"/>
        <v>отличный</v>
      </c>
      <c r="N11" s="8">
        <f t="shared" si="7"/>
        <v>22.875</v>
      </c>
      <c r="O11" s="8">
        <f t="shared" si="7"/>
        <v>22.875</v>
      </c>
    </row>
    <row r="12" spans="1:15" x14ac:dyDescent="0.25">
      <c r="B12" t="s">
        <v>78</v>
      </c>
      <c r="C12" s="2">
        <v>2.5</v>
      </c>
      <c r="D12" s="2">
        <v>2.5</v>
      </c>
      <c r="E12" s="2">
        <v>2</v>
      </c>
      <c r="F12" s="2">
        <v>1</v>
      </c>
      <c r="G12" s="8">
        <f t="shared" si="0"/>
        <v>137.75867993827163</v>
      </c>
      <c r="H12" s="8">
        <f t="shared" si="1"/>
        <v>182.00330653744666</v>
      </c>
      <c r="I12" s="9">
        <f t="shared" si="2"/>
        <v>810.3127907965079</v>
      </c>
      <c r="J12" s="6">
        <f t="shared" si="3"/>
        <v>0.29499719455869927</v>
      </c>
      <c r="K12" s="6">
        <f t="shared" si="4"/>
        <v>0.18437324659918702</v>
      </c>
      <c r="L12" s="8">
        <f t="shared" si="5"/>
        <v>49.968651881909693</v>
      </c>
      <c r="M12" t="str">
        <f t="shared" si="6"/>
        <v>отличный</v>
      </c>
      <c r="N12" s="8">
        <f t="shared" si="7"/>
        <v>14.64</v>
      </c>
      <c r="O12" s="8">
        <f t="shared" si="7"/>
        <v>14.64</v>
      </c>
    </row>
    <row r="13" spans="1:15" x14ac:dyDescent="0.25">
      <c r="B13" t="s">
        <v>79</v>
      </c>
      <c r="C13" s="2">
        <v>1.6</v>
      </c>
      <c r="D13" s="2">
        <v>1.6</v>
      </c>
      <c r="E13" s="2">
        <v>1</v>
      </c>
      <c r="F13" s="2">
        <v>0</v>
      </c>
      <c r="G13" s="8">
        <f t="shared" si="0"/>
        <v>137.58726851851853</v>
      </c>
      <c r="H13" s="8">
        <f t="shared" si="1"/>
        <v>176.86123417495429</v>
      </c>
      <c r="I13" s="9">
        <f t="shared" si="2"/>
        <v>251.18603176098674</v>
      </c>
      <c r="J13" s="6">
        <f t="shared" si="3"/>
        <v>0.95164527391975307</v>
      </c>
      <c r="K13" s="6">
        <f t="shared" si="4"/>
        <v>0.59477829619984568</v>
      </c>
      <c r="L13" s="8">
        <f t="shared" si="5"/>
        <v>137.58726851851853</v>
      </c>
      <c r="M13" t="str">
        <f t="shared" si="6"/>
        <v>&gt;100 с</v>
      </c>
      <c r="N13" s="8">
        <f t="shared" si="7"/>
        <v>22.875</v>
      </c>
      <c r="O13" s="8">
        <f t="shared" si="7"/>
        <v>22.875</v>
      </c>
    </row>
  </sheetData>
  <mergeCells count="1">
    <mergeCell ref="A1:O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5" x14ac:dyDescent="0.25"/>
  <cols>
    <col min="1" max="1" width="3" customWidth="1"/>
    <col min="2" max="2" width="44" customWidth="1"/>
    <col min="3" max="3" width="10" customWidth="1"/>
    <col min="4" max="4" width="11" customWidth="1"/>
    <col min="5" max="6" width="7" customWidth="1"/>
    <col min="7" max="8" width="9" customWidth="1"/>
    <col min="9" max="9" width="11" customWidth="1"/>
    <col min="10" max="11" width="9" customWidth="1"/>
    <col min="12" max="12" width="8" customWidth="1"/>
    <col min="13" max="13" width="17" customWidth="1"/>
    <col min="14" max="15" width="9" customWidth="1"/>
  </cols>
  <sheetData>
    <row r="1" spans="1:15" x14ac:dyDescent="0.25">
      <c r="A1" s="12" t="s">
        <v>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3" spans="1:15" x14ac:dyDescent="0.25"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</row>
    <row r="4" spans="1:15" x14ac:dyDescent="0.25">
      <c r="B4" t="s">
        <v>58</v>
      </c>
      <c r="C4" s="5">
        <f>E_640</f>
        <v>8</v>
      </c>
      <c r="D4">
        <f>ROUND(GamP*C4,0)</f>
        <v>6</v>
      </c>
      <c r="E4">
        <f>ROUND(GamS*C4,0)</f>
        <v>3</v>
      </c>
      <c r="F4" s="6">
        <f>N_up2*(1-(1-1/N_up2)^D4)+N_dn2*(1-(1-1/N_dn2)^E4)</f>
        <v>8.2705163873207397</v>
      </c>
    </row>
    <row r="5" spans="1:15" x14ac:dyDescent="0.25">
      <c r="B5" t="s">
        <v>59</v>
      </c>
      <c r="C5" s="5">
        <f>E_1000</f>
        <v>13</v>
      </c>
      <c r="D5">
        <f>ROUND(GamP*C5,0)</f>
        <v>10</v>
      </c>
      <c r="E5">
        <f>ROUND(GamS*C5,0)</f>
        <v>5</v>
      </c>
      <c r="F5" s="6">
        <f>N_up2*(1-(1-1/N_up2)^D5)+N_dn2*(1-(1-1/N_dn2)^E5)</f>
        <v>12.883825465877511</v>
      </c>
    </row>
    <row r="7" spans="1:15" ht="30" x14ac:dyDescent="0.25">
      <c r="B7" s="7" t="s">
        <v>60</v>
      </c>
      <c r="C7" s="7" t="s">
        <v>61</v>
      </c>
      <c r="D7" s="7" t="s">
        <v>62</v>
      </c>
      <c r="E7" s="7" t="s">
        <v>63</v>
      </c>
      <c r="F7" s="7" t="s">
        <v>64</v>
      </c>
      <c r="G7" s="7" t="s">
        <v>65</v>
      </c>
      <c r="H7" s="7" t="s">
        <v>66</v>
      </c>
      <c r="I7" s="7" t="s">
        <v>67</v>
      </c>
      <c r="J7" s="7" t="s">
        <v>68</v>
      </c>
      <c r="K7" s="7" t="s">
        <v>69</v>
      </c>
      <c r="L7" s="7" t="s">
        <v>70</v>
      </c>
      <c r="M7" s="7" t="s">
        <v>71</v>
      </c>
      <c r="N7" s="7" t="s">
        <v>72</v>
      </c>
      <c r="O7" s="7" t="s">
        <v>73</v>
      </c>
    </row>
    <row r="8" spans="1:15" x14ac:dyDescent="0.25">
      <c r="B8" t="s">
        <v>81</v>
      </c>
      <c r="C8" s="2">
        <v>2.5</v>
      </c>
      <c r="D8" s="2">
        <v>2.5</v>
      </c>
      <c r="E8" s="2">
        <v>3</v>
      </c>
      <c r="F8" s="2">
        <v>2</v>
      </c>
      <c r="G8" s="8">
        <f t="shared" ref="G8:G15" si="0">(2*Kv*H_Z2/C8+$F$4*INDEX(T_123,MATCH(C8,SPD,0))+(GamP+GamS)*E_640*Dt)*Kt</f>
        <v>221.57019089361492</v>
      </c>
      <c r="H8" s="8">
        <f t="shared" ref="H8:H15" si="1">(2*Kv*H_Z2/D8+$F$5*INDEX(T_123,MATCH(D8,SPD,0))+(GamP+GamS)*E_1000*Dt)*Kt</f>
        <v>298.83583434839943</v>
      </c>
      <c r="I8" s="9">
        <f t="shared" ref="I8:I15" si="2">E8*3600*(GamP+GamS)*E_640/G8+F8*3600*(GamP+GamS)*E_1000/H8</f>
        <v>843.79152000443423</v>
      </c>
      <c r="J8" s="6">
        <f t="shared" ref="J8:J15" si="3">P_28/I8</f>
        <v>0.68263307504793724</v>
      </c>
      <c r="K8" s="6">
        <f t="shared" ref="K8:K15" si="4">P_25/I8</f>
        <v>0.42664567190496078</v>
      </c>
      <c r="L8" s="8">
        <f t="shared" ref="L8:L15" si="5">1/(E8/G8+F8/H8)</f>
        <v>49.425758523636169</v>
      </c>
      <c r="M8" t="str">
        <f t="shared" ref="M8:M15" si="6">IF(L8&lt;=60,"отличный",IF(L8&lt;=80,"хороший",IF(L8&lt;=100,"удовлетворительный","&gt;100 с")))</f>
        <v>отличный</v>
      </c>
      <c r="N8" s="8">
        <f t="shared" ref="N8:O15" si="7">H_Z2/C8</f>
        <v>50.519999999999996</v>
      </c>
      <c r="O8" s="8">
        <f t="shared" si="7"/>
        <v>50.519999999999996</v>
      </c>
    </row>
    <row r="9" spans="1:15" x14ac:dyDescent="0.25">
      <c r="B9" t="s">
        <v>82</v>
      </c>
      <c r="C9" s="2">
        <v>2.5</v>
      </c>
      <c r="D9" s="2">
        <v>3.5</v>
      </c>
      <c r="E9" s="2">
        <v>3</v>
      </c>
      <c r="F9" s="2">
        <v>2</v>
      </c>
      <c r="G9" s="8">
        <f t="shared" si="0"/>
        <v>221.57019089361492</v>
      </c>
      <c r="H9" s="8">
        <f t="shared" si="1"/>
        <v>288.11425108757078</v>
      </c>
      <c r="I9" s="9">
        <f t="shared" si="2"/>
        <v>857.7783276733262</v>
      </c>
      <c r="J9" s="6">
        <f t="shared" si="3"/>
        <v>0.67150216019372566</v>
      </c>
      <c r="K9" s="6">
        <f t="shared" si="4"/>
        <v>0.41968885012107854</v>
      </c>
      <c r="L9" s="8">
        <f t="shared" si="5"/>
        <v>48.824744198482946</v>
      </c>
      <c r="M9" t="str">
        <f t="shared" si="6"/>
        <v>отличный</v>
      </c>
      <c r="N9" s="8">
        <f t="shared" si="7"/>
        <v>50.519999999999996</v>
      </c>
      <c r="O9" s="8">
        <f t="shared" si="7"/>
        <v>36.085714285714282</v>
      </c>
    </row>
    <row r="10" spans="1:15" x14ac:dyDescent="0.25">
      <c r="B10" t="s">
        <v>83</v>
      </c>
      <c r="C10" s="2">
        <v>3.5</v>
      </c>
      <c r="D10" s="2">
        <v>3.5</v>
      </c>
      <c r="E10" s="2">
        <v>3</v>
      </c>
      <c r="F10" s="2">
        <v>2</v>
      </c>
      <c r="G10" s="8">
        <f t="shared" si="0"/>
        <v>206.00463310030167</v>
      </c>
      <c r="H10" s="8">
        <f t="shared" si="1"/>
        <v>288.11425108757078</v>
      </c>
      <c r="I10" s="9">
        <f t="shared" si="2"/>
        <v>893.13499783537077</v>
      </c>
      <c r="J10" s="6">
        <f t="shared" si="3"/>
        <v>0.64491930267653963</v>
      </c>
      <c r="K10" s="6">
        <f t="shared" si="4"/>
        <v>0.40307456417283721</v>
      </c>
      <c r="L10" s="8">
        <f t="shared" si="5"/>
        <v>46.501960024492362</v>
      </c>
      <c r="M10" t="str">
        <f t="shared" si="6"/>
        <v>отличный</v>
      </c>
      <c r="N10" s="8">
        <f t="shared" si="7"/>
        <v>36.085714285714282</v>
      </c>
      <c r="O10" s="8">
        <f t="shared" si="7"/>
        <v>36.085714285714282</v>
      </c>
    </row>
    <row r="11" spans="1:15" x14ac:dyDescent="0.25">
      <c r="B11" t="s">
        <v>84</v>
      </c>
      <c r="C11" s="2">
        <v>2.5</v>
      </c>
      <c r="D11" s="2">
        <v>4</v>
      </c>
      <c r="E11" s="2">
        <v>3</v>
      </c>
      <c r="F11" s="2">
        <v>2</v>
      </c>
      <c r="G11" s="8">
        <f t="shared" si="0"/>
        <v>221.57019089361492</v>
      </c>
      <c r="H11" s="8">
        <f t="shared" si="1"/>
        <v>300.82827619632786</v>
      </c>
      <c r="I11" s="9">
        <f t="shared" si="2"/>
        <v>841.30213871749754</v>
      </c>
      <c r="J11" s="6">
        <f t="shared" si="3"/>
        <v>0.68465296056190839</v>
      </c>
      <c r="K11" s="6">
        <f t="shared" si="4"/>
        <v>0.4279081003511927</v>
      </c>
      <c r="L11" s="8">
        <f t="shared" si="5"/>
        <v>49.534281959820007</v>
      </c>
      <c r="M11" t="str">
        <f t="shared" si="6"/>
        <v>отличный</v>
      </c>
      <c r="N11" s="8">
        <f t="shared" si="7"/>
        <v>50.519999999999996</v>
      </c>
      <c r="O11" s="8">
        <f t="shared" si="7"/>
        <v>31.574999999999999</v>
      </c>
    </row>
    <row r="12" spans="1:15" x14ac:dyDescent="0.25">
      <c r="B12" t="s">
        <v>85</v>
      </c>
      <c r="C12" s="2">
        <v>4</v>
      </c>
      <c r="D12" s="2">
        <v>4</v>
      </c>
      <c r="E12" s="2">
        <v>3</v>
      </c>
      <c r="F12" s="2">
        <v>2</v>
      </c>
      <c r="G12" s="8">
        <f t="shared" si="0"/>
        <v>211.45269641033184</v>
      </c>
      <c r="H12" s="8">
        <f t="shared" si="1"/>
        <v>300.82827619632786</v>
      </c>
      <c r="I12" s="9">
        <f t="shared" si="2"/>
        <v>863.69158769394585</v>
      </c>
      <c r="J12" s="6">
        <f t="shared" si="3"/>
        <v>0.66690472410171131</v>
      </c>
      <c r="K12" s="6">
        <f t="shared" si="4"/>
        <v>0.41681545256356961</v>
      </c>
      <c r="L12" s="8">
        <f t="shared" si="5"/>
        <v>47.99412967641392</v>
      </c>
      <c r="M12" t="str">
        <f t="shared" si="6"/>
        <v>отличный</v>
      </c>
      <c r="N12" s="8">
        <f t="shared" si="7"/>
        <v>31.574999999999999</v>
      </c>
      <c r="O12" s="8">
        <f t="shared" si="7"/>
        <v>31.574999999999999</v>
      </c>
    </row>
    <row r="13" spans="1:15" x14ac:dyDescent="0.25">
      <c r="B13" t="s">
        <v>86</v>
      </c>
      <c r="C13" s="2">
        <v>2.5</v>
      </c>
      <c r="D13" s="2">
        <v>2.5</v>
      </c>
      <c r="E13" s="2">
        <v>3</v>
      </c>
      <c r="F13" s="2">
        <v>0</v>
      </c>
      <c r="G13" s="8">
        <f t="shared" si="0"/>
        <v>221.57019089361492</v>
      </c>
      <c r="H13" s="8">
        <f t="shared" si="1"/>
        <v>298.83583434839943</v>
      </c>
      <c r="I13" s="9">
        <f t="shared" si="2"/>
        <v>467.93298133583818</v>
      </c>
      <c r="J13" s="6">
        <f t="shared" si="3"/>
        <v>1.2309455049645273</v>
      </c>
      <c r="K13" s="6">
        <f t="shared" si="4"/>
        <v>0.76934094060282954</v>
      </c>
      <c r="L13" s="8">
        <f t="shared" si="5"/>
        <v>73.856730297871636</v>
      </c>
      <c r="M13" t="str">
        <f t="shared" si="6"/>
        <v>хороший</v>
      </c>
      <c r="N13" s="8">
        <f t="shared" si="7"/>
        <v>50.519999999999996</v>
      </c>
      <c r="O13" s="8">
        <f t="shared" si="7"/>
        <v>50.519999999999996</v>
      </c>
    </row>
    <row r="14" spans="1:15" x14ac:dyDescent="0.25">
      <c r="B14" t="s">
        <v>87</v>
      </c>
      <c r="C14" s="2">
        <v>2.5</v>
      </c>
      <c r="D14" s="2">
        <v>2.5</v>
      </c>
      <c r="E14" s="2">
        <v>4</v>
      </c>
      <c r="F14" s="2">
        <v>0</v>
      </c>
      <c r="G14" s="8">
        <f t="shared" si="0"/>
        <v>221.57019089361492</v>
      </c>
      <c r="H14" s="8">
        <f t="shared" si="1"/>
        <v>298.83583434839943</v>
      </c>
      <c r="I14" s="9">
        <f t="shared" si="2"/>
        <v>623.91064178111765</v>
      </c>
      <c r="J14" s="6">
        <f t="shared" si="3"/>
        <v>0.92320912872339522</v>
      </c>
      <c r="K14" s="6">
        <f t="shared" si="4"/>
        <v>0.57700570545212204</v>
      </c>
      <c r="L14" s="8">
        <f t="shared" si="5"/>
        <v>55.392547723403737</v>
      </c>
      <c r="M14" t="str">
        <f t="shared" si="6"/>
        <v>отличный</v>
      </c>
      <c r="N14" s="8">
        <f t="shared" si="7"/>
        <v>50.519999999999996</v>
      </c>
      <c r="O14" s="8">
        <f t="shared" si="7"/>
        <v>50.519999999999996</v>
      </c>
    </row>
    <row r="15" spans="1:15" x14ac:dyDescent="0.25">
      <c r="B15" t="s">
        <v>88</v>
      </c>
      <c r="C15" s="2">
        <v>3.5</v>
      </c>
      <c r="D15" s="2">
        <v>3.5</v>
      </c>
      <c r="E15" s="2">
        <v>0</v>
      </c>
      <c r="F15" s="2">
        <v>4</v>
      </c>
      <c r="G15" s="8">
        <f t="shared" si="0"/>
        <v>206.00463310030167</v>
      </c>
      <c r="H15" s="8">
        <f t="shared" si="1"/>
        <v>288.11425108757078</v>
      </c>
      <c r="I15" s="9">
        <f t="shared" si="2"/>
        <v>779.69069267497616</v>
      </c>
      <c r="J15" s="6">
        <f t="shared" si="3"/>
        <v>0.73875448996812998</v>
      </c>
      <c r="K15" s="6">
        <f t="shared" si="4"/>
        <v>0.46172155623008126</v>
      </c>
      <c r="L15" s="8">
        <f t="shared" si="5"/>
        <v>72.028562771892695</v>
      </c>
      <c r="M15" t="str">
        <f t="shared" si="6"/>
        <v>хороший</v>
      </c>
      <c r="N15" s="8">
        <f t="shared" si="7"/>
        <v>36.085714285714282</v>
      </c>
      <c r="O15" s="8">
        <f t="shared" si="7"/>
        <v>36.085714285714282</v>
      </c>
    </row>
  </sheetData>
  <mergeCells count="1">
    <mergeCell ref="A1:O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RowHeight="15" x14ac:dyDescent="0.25"/>
  <cols>
    <col min="1" max="1" width="50" customWidth="1"/>
    <col min="2" max="2" width="10" customWidth="1"/>
    <col min="3" max="3" width="62" customWidth="1"/>
  </cols>
  <sheetData>
    <row r="1" spans="1:3" x14ac:dyDescent="0.25">
      <c r="A1" s="12" t="s">
        <v>89</v>
      </c>
      <c r="B1" s="11"/>
      <c r="C1" s="11"/>
    </row>
    <row r="3" spans="1:3" x14ac:dyDescent="0.25">
      <c r="A3" t="s">
        <v>90</v>
      </c>
      <c r="B3" t="b">
        <f>E_640=8</f>
        <v>1</v>
      </c>
    </row>
    <row r="4" spans="1:3" x14ac:dyDescent="0.25">
      <c r="A4" t="s">
        <v>91</v>
      </c>
      <c r="B4" t="b">
        <f>E_1000=ROUNDDOWN(1000/75,0)</f>
        <v>1</v>
      </c>
    </row>
    <row r="5" spans="1:3" x14ac:dyDescent="0.25">
      <c r="A5" t="s">
        <v>92</v>
      </c>
      <c r="B5" t="b">
        <f>Inputs!C21+Inputs!C22=Inputs!C13*Inputs!C20</f>
        <v>1</v>
      </c>
    </row>
    <row r="6" spans="1:3" x14ac:dyDescent="0.25">
      <c r="A6" t="s">
        <v>93</v>
      </c>
      <c r="B6" t="b">
        <f>ABS(H_Z1-36.6)&lt;0.01</f>
        <v>1</v>
      </c>
    </row>
    <row r="7" spans="1:3" x14ac:dyDescent="0.25">
      <c r="A7" t="s">
        <v>94</v>
      </c>
      <c r="B7" t="b">
        <f>ABS(H_Z2-126.3)&lt;0.01</f>
        <v>1</v>
      </c>
    </row>
    <row r="8" spans="1:3" x14ac:dyDescent="0.25">
      <c r="A8" t="s">
        <v>95</v>
      </c>
      <c r="B8" t="b">
        <f>Zone2!L9&lt;=TUtarget</f>
        <v>1</v>
      </c>
    </row>
    <row r="9" spans="1:3" x14ac:dyDescent="0.25">
      <c r="A9" t="s">
        <v>96</v>
      </c>
      <c r="B9" t="b">
        <f>Zone2!J9&lt;=1</f>
        <v>1</v>
      </c>
    </row>
    <row r="10" spans="1:3" x14ac:dyDescent="0.25">
      <c r="A10" t="s">
        <v>97</v>
      </c>
      <c r="B10" t="b">
        <f>Zone1!L8&lt;=TUtarget</f>
        <v>0</v>
      </c>
      <c r="C10" s="3" t="s">
        <v>98</v>
      </c>
    </row>
    <row r="11" spans="1:3" x14ac:dyDescent="0.25">
      <c r="A11" t="s">
        <v>99</v>
      </c>
      <c r="B11" t="b">
        <f>Zone1!L11&lt;=TUtarget</f>
        <v>1</v>
      </c>
    </row>
    <row r="12" spans="1:3" x14ac:dyDescent="0.25">
      <c r="A12" t="s">
        <v>100</v>
      </c>
      <c r="B12" t="b">
        <f>Zone1!J8&lt;=1</f>
        <v>1</v>
      </c>
    </row>
    <row r="13" spans="1:3" x14ac:dyDescent="0.25">
      <c r="A13" t="s">
        <v>101</v>
      </c>
      <c r="B13" t="b">
        <f>Zone2!O9&lt;=40</f>
        <v>1</v>
      </c>
    </row>
    <row r="14" spans="1:3" x14ac:dyDescent="0.25">
      <c r="A14" t="s">
        <v>102</v>
      </c>
      <c r="B14" t="b">
        <f>Zone2!N9&lt;=40</f>
        <v>0</v>
      </c>
      <c r="C14" s="3" t="s">
        <v>103</v>
      </c>
    </row>
  </sheetData>
  <mergeCells count="1">
    <mergeCell ref="A1:C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tabSelected="1" workbookViewId="0">
      <selection activeCell="A16" sqref="A16"/>
    </sheetView>
  </sheetViews>
  <sheetFormatPr defaultRowHeight="15" x14ac:dyDescent="0.25"/>
  <cols>
    <col min="1" max="1" width="120" customWidth="1"/>
  </cols>
  <sheetData>
    <row r="1" spans="1:2" x14ac:dyDescent="0.25">
      <c r="A1" s="12" t="s">
        <v>104</v>
      </c>
      <c r="B1" s="11"/>
    </row>
    <row r="3" spans="1:2" ht="45" x14ac:dyDescent="0.25">
      <c r="A3" s="14" t="s">
        <v>105</v>
      </c>
    </row>
    <row r="4" spans="1:2" ht="30" x14ac:dyDescent="0.25">
      <c r="A4" s="10" t="s">
        <v>106</v>
      </c>
    </row>
    <row r="5" spans="1:2" ht="30" x14ac:dyDescent="0.25">
      <c r="A5" s="13" t="s">
        <v>107</v>
      </c>
    </row>
    <row r="6" spans="1:2" ht="45" x14ac:dyDescent="0.25">
      <c r="A6" s="10" t="s">
        <v>108</v>
      </c>
    </row>
    <row r="7" spans="1:2" ht="60" x14ac:dyDescent="0.25">
      <c r="A7" s="13" t="s">
        <v>109</v>
      </c>
    </row>
    <row r="8" spans="1:2" ht="30" x14ac:dyDescent="0.25">
      <c r="A8" s="10" t="s">
        <v>110</v>
      </c>
    </row>
    <row r="9" spans="1:2" ht="30" x14ac:dyDescent="0.25">
      <c r="A9" s="13" t="s">
        <v>111</v>
      </c>
    </row>
    <row r="10" spans="1:2" ht="20.25" customHeight="1" x14ac:dyDescent="0.25">
      <c r="A10" s="10" t="s">
        <v>112</v>
      </c>
    </row>
    <row r="11" spans="1:2" ht="75" x14ac:dyDescent="0.25">
      <c r="A11" s="10" t="s">
        <v>113</v>
      </c>
    </row>
    <row r="12" spans="1:2" ht="45" x14ac:dyDescent="0.25">
      <c r="A12" s="13" t="s">
        <v>114</v>
      </c>
    </row>
    <row r="13" spans="1:2" ht="45" x14ac:dyDescent="0.25">
      <c r="A13" s="10" t="s">
        <v>115</v>
      </c>
    </row>
    <row r="14" spans="1:2" ht="45" x14ac:dyDescent="0.25">
      <c r="A14" s="10" t="s">
        <v>116</v>
      </c>
    </row>
  </sheetData>
  <mergeCells count="1">
    <mergeCell ref="A1:B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/>
  </sheetViews>
  <sheetFormatPr defaultRowHeight="15" x14ac:dyDescent="0.25"/>
  <cols>
    <col min="1" max="1" width="26" customWidth="1"/>
    <col min="2" max="2" width="34" customWidth="1"/>
    <col min="3" max="3" width="30" customWidth="1"/>
    <col min="4" max="4" width="52" customWidth="1"/>
    <col min="5" max="5" width="38" customWidth="1"/>
  </cols>
  <sheetData>
    <row r="1" spans="1:5" x14ac:dyDescent="0.25">
      <c r="A1" s="12" t="s">
        <v>117</v>
      </c>
      <c r="B1" s="11"/>
      <c r="C1" s="11"/>
      <c r="D1" s="11"/>
      <c r="E1" s="11"/>
    </row>
    <row r="3" spans="1:5" x14ac:dyDescent="0.25">
      <c r="A3" s="7" t="s">
        <v>118</v>
      </c>
      <c r="B3" s="7" t="s">
        <v>119</v>
      </c>
      <c r="C3" s="7" t="s">
        <v>120</v>
      </c>
      <c r="D3" s="7" t="s">
        <v>121</v>
      </c>
      <c r="E3" s="7" t="s">
        <v>122</v>
      </c>
    </row>
    <row r="4" spans="1:5" x14ac:dyDescent="0.25">
      <c r="A4" s="10" t="s">
        <v>123</v>
      </c>
      <c r="B4" s="10" t="s">
        <v>124</v>
      </c>
      <c r="C4" s="10" t="s">
        <v>125</v>
      </c>
      <c r="D4" s="10" t="s">
        <v>126</v>
      </c>
      <c r="E4" s="10" t="s">
        <v>127</v>
      </c>
    </row>
    <row r="5" spans="1:5" ht="30" x14ac:dyDescent="0.25">
      <c r="A5" s="10" t="s">
        <v>128</v>
      </c>
      <c r="B5" s="10" t="s">
        <v>129</v>
      </c>
      <c r="C5" s="10" t="s">
        <v>125</v>
      </c>
      <c r="D5" s="10" t="s">
        <v>126</v>
      </c>
      <c r="E5" s="10" t="s">
        <v>127</v>
      </c>
    </row>
    <row r="6" spans="1:5" ht="30" x14ac:dyDescent="0.25">
      <c r="A6" s="10" t="s">
        <v>130</v>
      </c>
      <c r="B6" s="10" t="s">
        <v>131</v>
      </c>
      <c r="C6" s="10" t="s">
        <v>132</v>
      </c>
      <c r="D6" s="10" t="s">
        <v>133</v>
      </c>
      <c r="E6" s="10" t="s">
        <v>134</v>
      </c>
    </row>
    <row r="7" spans="1:5" ht="30" x14ac:dyDescent="0.25">
      <c r="A7" s="10" t="s">
        <v>135</v>
      </c>
      <c r="B7" s="10" t="s">
        <v>136</v>
      </c>
      <c r="C7" s="10" t="s">
        <v>137</v>
      </c>
      <c r="D7" s="10" t="s">
        <v>138</v>
      </c>
      <c r="E7" s="10" t="s">
        <v>139</v>
      </c>
    </row>
    <row r="8" spans="1:5" ht="45" x14ac:dyDescent="0.25">
      <c r="A8" s="10" t="s">
        <v>140</v>
      </c>
      <c r="B8" s="10" t="s">
        <v>141</v>
      </c>
      <c r="C8" s="10" t="s">
        <v>142</v>
      </c>
      <c r="D8" s="10" t="s">
        <v>143</v>
      </c>
      <c r="E8" s="10" t="s">
        <v>144</v>
      </c>
    </row>
    <row r="9" spans="1:5" ht="30" x14ac:dyDescent="0.25">
      <c r="A9" s="10" t="s">
        <v>145</v>
      </c>
      <c r="B9" s="10" t="s">
        <v>146</v>
      </c>
      <c r="C9" s="10" t="s">
        <v>147</v>
      </c>
      <c r="D9" s="10" t="s">
        <v>126</v>
      </c>
      <c r="E9" s="10" t="s">
        <v>127</v>
      </c>
    </row>
    <row r="10" spans="1:5" ht="45" x14ac:dyDescent="0.25">
      <c r="A10" s="10" t="s">
        <v>148</v>
      </c>
      <c r="B10" s="10" t="s">
        <v>149</v>
      </c>
      <c r="C10" s="10" t="s">
        <v>150</v>
      </c>
      <c r="D10" s="10" t="s">
        <v>151</v>
      </c>
      <c r="E10" s="10" t="s">
        <v>152</v>
      </c>
    </row>
    <row r="11" spans="1:5" x14ac:dyDescent="0.25">
      <c r="A11" s="10" t="s">
        <v>153</v>
      </c>
      <c r="B11" s="10" t="s">
        <v>154</v>
      </c>
      <c r="C11" s="10" t="s">
        <v>155</v>
      </c>
      <c r="D11" s="10" t="s">
        <v>126</v>
      </c>
      <c r="E11" s="10" t="s">
        <v>156</v>
      </c>
    </row>
    <row r="12" spans="1:5" ht="30" x14ac:dyDescent="0.25">
      <c r="A12" s="10" t="s">
        <v>157</v>
      </c>
      <c r="B12" s="10" t="s">
        <v>158</v>
      </c>
      <c r="C12" s="10" t="s">
        <v>159</v>
      </c>
      <c r="D12" s="10" t="s">
        <v>126</v>
      </c>
      <c r="E12" s="10" t="s">
        <v>160</v>
      </c>
    </row>
    <row r="13" spans="1:5" ht="30" x14ac:dyDescent="0.25">
      <c r="A13" s="10" t="s">
        <v>161</v>
      </c>
      <c r="B13" s="10" t="s">
        <v>162</v>
      </c>
      <c r="C13" s="10" t="s">
        <v>163</v>
      </c>
      <c r="D13" s="10" t="s">
        <v>126</v>
      </c>
      <c r="E13" s="10" t="s">
        <v>164</v>
      </c>
    </row>
    <row r="14" spans="1:5" ht="30" x14ac:dyDescent="0.25">
      <c r="A14" s="10" t="s">
        <v>165</v>
      </c>
      <c r="B14" s="10" t="s">
        <v>166</v>
      </c>
      <c r="C14" s="10" t="s">
        <v>167</v>
      </c>
      <c r="D14" s="10" t="s">
        <v>168</v>
      </c>
      <c r="E14" s="10" t="s">
        <v>169</v>
      </c>
    </row>
    <row r="15" spans="1:5" ht="30" x14ac:dyDescent="0.25">
      <c r="A15" s="10" t="s">
        <v>170</v>
      </c>
      <c r="B15" s="10" t="s">
        <v>171</v>
      </c>
      <c r="C15" s="10" t="s">
        <v>172</v>
      </c>
      <c r="D15" s="10" t="s">
        <v>173</v>
      </c>
      <c r="E15" s="10" t="s">
        <v>174</v>
      </c>
    </row>
    <row r="16" spans="1:5" ht="45" x14ac:dyDescent="0.25">
      <c r="A16" s="10" t="s">
        <v>175</v>
      </c>
      <c r="B16" s="10" t="s">
        <v>176</v>
      </c>
      <c r="C16" s="10" t="s">
        <v>177</v>
      </c>
      <c r="D16" s="10" t="s">
        <v>178</v>
      </c>
      <c r="E16" s="10" t="s">
        <v>179</v>
      </c>
    </row>
    <row r="17" spans="1:5" ht="60" x14ac:dyDescent="0.25">
      <c r="A17" s="10" t="s">
        <v>180</v>
      </c>
      <c r="B17" s="10" t="s">
        <v>126</v>
      </c>
      <c r="C17" s="10" t="s">
        <v>126</v>
      </c>
      <c r="D17" s="10" t="s">
        <v>181</v>
      </c>
      <c r="E17" s="10" t="s">
        <v>182</v>
      </c>
    </row>
    <row r="19" spans="1:5" ht="285" x14ac:dyDescent="0.25">
      <c r="A19" s="10" t="s">
        <v>183</v>
      </c>
    </row>
  </sheetData>
  <mergeCells count="1">
    <mergeCell ref="A1:E1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5" x14ac:dyDescent="0.25"/>
  <cols>
    <col min="1" max="1" width="30" customWidth="1"/>
    <col min="2" max="2" width="48" customWidth="1"/>
    <col min="3" max="3" width="50" customWidth="1"/>
    <col min="4" max="4" width="52" customWidth="1"/>
  </cols>
  <sheetData>
    <row r="1" spans="1:4" x14ac:dyDescent="0.25">
      <c r="A1" s="12" t="s">
        <v>184</v>
      </c>
      <c r="B1" s="11"/>
      <c r="C1" s="11"/>
      <c r="D1" s="11"/>
    </row>
    <row r="3" spans="1:4" x14ac:dyDescent="0.25">
      <c r="A3" s="7" t="s">
        <v>185</v>
      </c>
      <c r="B3" s="7" t="s">
        <v>186</v>
      </c>
      <c r="C3" s="7" t="s">
        <v>187</v>
      </c>
      <c r="D3" s="7" t="s">
        <v>188</v>
      </c>
    </row>
    <row r="4" spans="1:4" ht="60" x14ac:dyDescent="0.25">
      <c r="A4" s="10" t="s">
        <v>189</v>
      </c>
      <c r="B4" s="10" t="s">
        <v>190</v>
      </c>
      <c r="C4" s="10" t="s">
        <v>191</v>
      </c>
      <c r="D4" s="10" t="s">
        <v>192</v>
      </c>
    </row>
    <row r="5" spans="1:4" ht="75" x14ac:dyDescent="0.25">
      <c r="A5" s="10" t="s">
        <v>193</v>
      </c>
      <c r="B5" s="10" t="s">
        <v>194</v>
      </c>
      <c r="C5" s="10" t="s">
        <v>195</v>
      </c>
      <c r="D5" s="10" t="s">
        <v>196</v>
      </c>
    </row>
    <row r="6" spans="1:4" ht="30" x14ac:dyDescent="0.25">
      <c r="A6" s="10" t="s">
        <v>197</v>
      </c>
      <c r="B6" s="10" t="s">
        <v>198</v>
      </c>
      <c r="C6" s="10" t="s">
        <v>199</v>
      </c>
      <c r="D6" s="10" t="s">
        <v>200</v>
      </c>
    </row>
    <row r="7" spans="1:4" ht="45" x14ac:dyDescent="0.25">
      <c r="A7" s="10" t="s">
        <v>201</v>
      </c>
      <c r="B7" s="10" t="s">
        <v>202</v>
      </c>
      <c r="C7" s="10" t="s">
        <v>203</v>
      </c>
      <c r="D7" s="10" t="s">
        <v>204</v>
      </c>
    </row>
    <row r="8" spans="1:4" ht="45" x14ac:dyDescent="0.25">
      <c r="A8" s="10" t="s">
        <v>205</v>
      </c>
      <c r="B8" s="10" t="s">
        <v>206</v>
      </c>
      <c r="C8" s="10" t="s">
        <v>207</v>
      </c>
      <c r="D8" s="10" t="s">
        <v>208</v>
      </c>
    </row>
    <row r="9" spans="1:4" ht="45" x14ac:dyDescent="0.25">
      <c r="A9" s="10" t="s">
        <v>209</v>
      </c>
      <c r="B9" s="10" t="s">
        <v>210</v>
      </c>
      <c r="C9" s="10" t="s">
        <v>211</v>
      </c>
      <c r="D9" s="10" t="s">
        <v>212</v>
      </c>
    </row>
    <row r="10" spans="1:4" ht="45" x14ac:dyDescent="0.25">
      <c r="A10" s="10" t="s">
        <v>213</v>
      </c>
      <c r="B10" s="10" t="s">
        <v>214</v>
      </c>
      <c r="C10" s="10" t="s">
        <v>215</v>
      </c>
      <c r="D10" s="10" t="s">
        <v>216</v>
      </c>
    </row>
    <row r="11" spans="1:4" ht="45" x14ac:dyDescent="0.25">
      <c r="A11" s="10" t="s">
        <v>217</v>
      </c>
      <c r="B11" s="10" t="s">
        <v>218</v>
      </c>
      <c r="C11" s="10" t="s">
        <v>219</v>
      </c>
      <c r="D11" s="10" t="s">
        <v>220</v>
      </c>
    </row>
    <row r="12" spans="1:4" ht="45" x14ac:dyDescent="0.25">
      <c r="A12" s="10" t="s">
        <v>221</v>
      </c>
      <c r="B12" s="10" t="s">
        <v>222</v>
      </c>
      <c r="C12" s="10" t="s">
        <v>223</v>
      </c>
      <c r="D12" s="10" t="s">
        <v>224</v>
      </c>
    </row>
    <row r="13" spans="1:4" ht="45" x14ac:dyDescent="0.25">
      <c r="A13" s="10" t="s">
        <v>225</v>
      </c>
      <c r="B13" s="10" t="s">
        <v>226</v>
      </c>
      <c r="C13" s="10" t="s">
        <v>227</v>
      </c>
      <c r="D13" s="10" t="s">
        <v>228</v>
      </c>
    </row>
    <row r="15" spans="1:4" ht="150" x14ac:dyDescent="0.25">
      <c r="A15" s="10" t="s">
        <v>229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20</vt:i4>
      </vt:variant>
    </vt:vector>
  </HeadingPairs>
  <TitlesOfParts>
    <vt:vector size="27" baseType="lpstr">
      <vt:lpstr>Inputs</vt:lpstr>
      <vt:lpstr>Zone1</vt:lpstr>
      <vt:lpstr>Zone2</vt:lpstr>
      <vt:lpstr>Checks</vt:lpstr>
      <vt:lpstr>Выводы</vt:lpstr>
      <vt:lpstr>Допущения</vt:lpstr>
      <vt:lpstr>Нормативы</vt:lpstr>
      <vt:lpstr>Dt</vt:lpstr>
      <vt:lpstr>E_1000</vt:lpstr>
      <vt:lpstr>E_640</vt:lpstr>
      <vt:lpstr>GamP</vt:lpstr>
      <vt:lpstr>GamS</vt:lpstr>
      <vt:lpstr>H_Z1</vt:lpstr>
      <vt:lpstr>H_Z2</vt:lpstr>
      <vt:lpstr>Kt</vt:lpstr>
      <vt:lpstr>Kv</vt:lpstr>
      <vt:lpstr>N_dn1</vt:lpstr>
      <vt:lpstr>N_dn2</vt:lpstr>
      <vt:lpstr>N_up1</vt:lpstr>
      <vt:lpstr>N_up2</vt:lpstr>
      <vt:lpstr>P_15</vt:lpstr>
      <vt:lpstr>P_18</vt:lpstr>
      <vt:lpstr>P_25</vt:lpstr>
      <vt:lpstr>P_28</vt:lpstr>
      <vt:lpstr>SPD</vt:lpstr>
      <vt:lpstr>T_123</vt:lpstr>
      <vt:lpstr>TUtarget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Баранова Юлия</cp:lastModifiedBy>
  <dcterms:created xsi:type="dcterms:W3CDTF">2026-09-30T17:27:10Z</dcterms:created>
  <dcterms:modified xsi:type="dcterms:W3CDTF">2026-09-30T18:03:27Z</dcterms:modified>
</cp:coreProperties>
</file>