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Объекты\053 Молодогвардейская\03 Проектирование\03 АГО (АГР)\01 Рабочая папка\00_АР\Расчет Машиномест\"/>
    </mc:Choice>
  </mc:AlternateContent>
  <xr:revisionPtr revIDLastSave="0" documentId="13_ncr:1_{81BE6AA3-5850-4ED8-A949-F17D70AC6829}" xr6:coauthVersionLast="47" xr6:coauthVersionMax="47" xr10:uidLastSave="{00000000-0000-0000-0000-000000000000}"/>
  <bookViews>
    <workbookView xWindow="3090" yWindow="1095" windowWidth="23280" windowHeight="13245" xr2:uid="{C66B67EC-6795-4EA4-AE89-25C9F8CCBB85}"/>
  </bookViews>
  <sheets>
    <sheet name="Расчет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2" l="1"/>
  <c r="P5" i="2"/>
  <c r="P4" i="2"/>
  <c r="O5" i="2"/>
  <c r="O6" i="2"/>
  <c r="O4" i="2"/>
  <c r="O7" i="2" s="1"/>
  <c r="S7" i="2"/>
  <c r="M7" i="2"/>
  <c r="K7" i="2"/>
  <c r="N6" i="2"/>
  <c r="L6" i="2"/>
  <c r="N5" i="2"/>
  <c r="L5" i="2"/>
  <c r="Q5" i="2" s="1"/>
  <c r="R4" i="2"/>
  <c r="R7" i="2" s="1"/>
  <c r="N4" i="2"/>
  <c r="N7" i="2" s="1"/>
  <c r="L4" i="2"/>
  <c r="C5" i="2"/>
  <c r="G4" i="2"/>
  <c r="E4" i="2"/>
  <c r="P7" i="2" l="1"/>
  <c r="Q4" i="2"/>
  <c r="Q6" i="2"/>
  <c r="L7" i="2"/>
  <c r="Q7" i="2" s="1"/>
  <c r="H7" i="2"/>
  <c r="G7" i="2"/>
  <c r="C4" i="2"/>
  <c r="E16" i="2"/>
  <c r="E13" i="2"/>
  <c r="E15" i="2"/>
  <c r="E12" i="2"/>
  <c r="E6" i="2"/>
  <c r="B7" i="2"/>
  <c r="C19" i="2"/>
  <c r="B19" i="2"/>
  <c r="C18" i="2"/>
  <c r="B18" i="2"/>
  <c r="D7" i="2"/>
  <c r="C6" i="2"/>
  <c r="F6" i="2" s="1"/>
  <c r="E5" i="2"/>
  <c r="F5" i="2" s="1"/>
  <c r="F4" i="2"/>
  <c r="E18" i="2" l="1"/>
  <c r="B21" i="2" s="1"/>
  <c r="E19" i="2"/>
  <c r="E7" i="2"/>
  <c r="F12" i="2" s="1"/>
  <c r="C7" i="2"/>
  <c r="F21" i="2" s="1"/>
  <c r="D24" i="2" l="1"/>
  <c r="F7" i="2"/>
  <c r="F15" i="2" s="1"/>
</calcChain>
</file>

<file path=xl/sharedStrings.xml><?xml version="1.0" encoding="utf-8"?>
<sst xmlns="http://schemas.openxmlformats.org/spreadsheetml/2006/main" count="49" uniqueCount="30">
  <si>
    <t>Расчет кол-ва м/м</t>
  </si>
  <si>
    <t>Без понижающих К</t>
  </si>
  <si>
    <t>постоянных</t>
  </si>
  <si>
    <t>Итого</t>
  </si>
  <si>
    <t>С понижающ. К по ПП-945 (п.6.2.4)</t>
  </si>
  <si>
    <t>1 очередь</t>
  </si>
  <si>
    <t>2 очередь</t>
  </si>
  <si>
    <t xml:space="preserve"> кол-во машино-мест, шт.</t>
  </si>
  <si>
    <t>Итого:</t>
  </si>
  <si>
    <t>Вывод:</t>
  </si>
  <si>
    <r>
      <t xml:space="preserve">1 очередь        </t>
    </r>
    <r>
      <rPr>
        <sz val="11"/>
        <color theme="1"/>
        <rFont val="Times New Roman"/>
        <family val="1"/>
        <charset val="204"/>
      </rPr>
      <t>(без К)</t>
    </r>
  </si>
  <si>
    <r>
      <t xml:space="preserve">1 очередь        </t>
    </r>
    <r>
      <rPr>
        <sz val="11"/>
        <color theme="1"/>
        <rFont val="Times New Roman"/>
        <family val="1"/>
        <charset val="204"/>
      </rPr>
      <t>(С понижающ. К)</t>
    </r>
  </si>
  <si>
    <r>
      <t xml:space="preserve">2 очередь               </t>
    </r>
    <r>
      <rPr>
        <sz val="11"/>
        <color theme="1"/>
        <rFont val="Times New Roman"/>
        <family val="1"/>
        <charset val="204"/>
      </rPr>
      <t xml:space="preserve"> (С понижающ. К)</t>
    </r>
  </si>
  <si>
    <t>Относительно расчетного кол-ва м/м</t>
  </si>
  <si>
    <t>на 2 этажа</t>
  </si>
  <si>
    <t xml:space="preserve"> не хватает</t>
  </si>
  <si>
    <t>Зависимых</t>
  </si>
  <si>
    <t>Без учета зависимых м/м</t>
  </si>
  <si>
    <t>02 этаж</t>
  </si>
  <si>
    <t>01 этаж</t>
  </si>
  <si>
    <t>Вариант планировки подземной автостоянки</t>
  </si>
  <si>
    <t xml:space="preserve">машино-мест </t>
  </si>
  <si>
    <t>гостевых (жильцы)</t>
  </si>
  <si>
    <t>приобъектных (коммерция)</t>
  </si>
  <si>
    <t xml:space="preserve"> - Учитываем зависимые м/м по ТЗ</t>
  </si>
  <si>
    <t>В том числе МГН</t>
  </si>
  <si>
    <t>Специализированных      в числе МГН</t>
  </si>
  <si>
    <t>На 579 квартир по ПП-945</t>
  </si>
  <si>
    <t>В том числе МГН (для 1 очереди)</t>
  </si>
  <si>
    <t>Специализированных      в числе МГН  (для 1 очереди)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</si>
</sst>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i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i/>
      <sz val="14"/>
      <color rgb="FFFF000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i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/>
    </xf>
    <xf numFmtId="1" fontId="4" fillId="0" borderId="1" xfId="0" applyNumberFormat="1" applyFont="1" applyFill="1" applyBorder="1" applyAlignment="1">
      <alignment horizontal="center" vertical="center"/>
    </xf>
    <xf numFmtId="1" fontId="2" fillId="0" borderId="0" xfId="0" applyNumberFormat="1" applyFont="1"/>
    <xf numFmtId="0" fontId="6" fillId="0" borderId="0" xfId="0" applyFont="1" applyFill="1" applyBorder="1" applyAlignment="1">
      <alignment horizontal="left" vertical="center"/>
    </xf>
    <xf numFmtId="49" fontId="2" fillId="0" borderId="0" xfId="0" applyNumberFormat="1" applyFont="1"/>
    <xf numFmtId="1" fontId="7" fillId="6" borderId="0" xfId="0" applyNumberFormat="1" applyFont="1" applyFill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2" fontId="10" fillId="0" borderId="0" xfId="0" applyNumberFormat="1" applyFont="1"/>
    <xf numFmtId="0" fontId="2" fillId="7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right" vertical="center"/>
    </xf>
    <xf numFmtId="1" fontId="7" fillId="4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36A1-30B3-4F56-AC23-FA66FE88D2B7}">
  <dimension ref="A1:S37"/>
  <sheetViews>
    <sheetView tabSelected="1" zoomScale="85" zoomScaleNormal="85" workbookViewId="0">
      <selection activeCell="Q10" sqref="Q10"/>
    </sheetView>
  </sheetViews>
  <sheetFormatPr defaultColWidth="16.42578125" defaultRowHeight="18.75" x14ac:dyDescent="0.3"/>
  <cols>
    <col min="1" max="1" width="34" style="1" customWidth="1"/>
    <col min="2" max="5" width="16.42578125" style="2"/>
    <col min="6" max="6" width="18" style="2" customWidth="1"/>
    <col min="7" max="7" width="16.42578125" style="2"/>
    <col min="8" max="8" width="15.85546875" style="1" customWidth="1"/>
    <col min="9" max="9" width="16.42578125" style="1"/>
    <col min="10" max="10" width="33.5703125" style="1" customWidth="1"/>
    <col min="11" max="16384" width="16.42578125" style="1"/>
  </cols>
  <sheetData>
    <row r="1" spans="1:19" x14ac:dyDescent="0.3">
      <c r="K1" s="2"/>
      <c r="L1" s="2"/>
      <c r="M1" s="2"/>
      <c r="N1" s="2"/>
      <c r="O1" s="2"/>
      <c r="P1" s="2"/>
      <c r="Q1" s="2"/>
      <c r="R1" s="2"/>
    </row>
    <row r="2" spans="1:19" s="4" customFormat="1" ht="104.25" customHeight="1" x14ac:dyDescent="0.25">
      <c r="A2" s="3" t="s">
        <v>0</v>
      </c>
      <c r="B2" s="3" t="s">
        <v>1</v>
      </c>
      <c r="C2" s="3" t="s">
        <v>4</v>
      </c>
      <c r="D2" s="3" t="s">
        <v>10</v>
      </c>
      <c r="E2" s="3" t="s">
        <v>11</v>
      </c>
      <c r="F2" s="3" t="s">
        <v>12</v>
      </c>
      <c r="G2" s="3" t="s">
        <v>25</v>
      </c>
      <c r="H2" s="3" t="s">
        <v>26</v>
      </c>
      <c r="J2" s="3" t="s">
        <v>0</v>
      </c>
      <c r="K2" s="3" t="s">
        <v>1</v>
      </c>
      <c r="L2" s="3" t="s">
        <v>4</v>
      </c>
      <c r="M2" s="3" t="s">
        <v>10</v>
      </c>
      <c r="N2" s="3" t="s">
        <v>11</v>
      </c>
      <c r="O2" s="3" t="s">
        <v>28</v>
      </c>
      <c r="P2" s="3" t="s">
        <v>29</v>
      </c>
      <c r="Q2" s="3" t="s">
        <v>12</v>
      </c>
      <c r="R2" s="3" t="s">
        <v>25</v>
      </c>
      <c r="S2" s="3" t="s">
        <v>26</v>
      </c>
    </row>
    <row r="3" spans="1:19" ht="37.5" x14ac:dyDescent="0.3">
      <c r="A3" s="5" t="s">
        <v>27</v>
      </c>
      <c r="B3" s="6"/>
      <c r="C3" s="6"/>
      <c r="D3" s="6"/>
      <c r="E3" s="6"/>
      <c r="F3" s="6"/>
      <c r="G3" s="6"/>
      <c r="H3" s="6"/>
      <c r="J3" s="5" t="s">
        <v>27</v>
      </c>
      <c r="K3" s="6"/>
      <c r="L3" s="6"/>
      <c r="M3" s="6"/>
      <c r="N3" s="6"/>
      <c r="O3" s="6"/>
      <c r="P3" s="6"/>
      <c r="Q3" s="6"/>
      <c r="R3" s="6"/>
      <c r="S3" s="6"/>
    </row>
    <row r="4" spans="1:19" x14ac:dyDescent="0.3">
      <c r="A4" s="7" t="s">
        <v>2</v>
      </c>
      <c r="B4" s="6">
        <v>628</v>
      </c>
      <c r="C4" s="8">
        <f>B4-B4*10/100</f>
        <v>565.20000000000005</v>
      </c>
      <c r="D4" s="8">
        <v>302</v>
      </c>
      <c r="E4" s="8">
        <f>D4-D4*10/100</f>
        <v>271.8</v>
      </c>
      <c r="F4" s="8">
        <f>C4-E4+1</f>
        <v>294.40000000000003</v>
      </c>
      <c r="G4" s="8">
        <f>B4/10</f>
        <v>62.8</v>
      </c>
      <c r="H4" s="6">
        <v>22</v>
      </c>
      <c r="J4" s="7" t="s">
        <v>2</v>
      </c>
      <c r="K4" s="6">
        <v>628</v>
      </c>
      <c r="L4" s="8">
        <f>K4-K4*10/100</f>
        <v>565.20000000000005</v>
      </c>
      <c r="M4" s="8">
        <v>302</v>
      </c>
      <c r="N4" s="8">
        <f>M4-M4*10/100</f>
        <v>271.8</v>
      </c>
      <c r="O4" s="8">
        <f>ROUNDUP(M4/10,0)</f>
        <v>31</v>
      </c>
      <c r="P4" s="6">
        <f>ROUNDUP(8+((M4-200)*0.02),0)</f>
        <v>11</v>
      </c>
      <c r="Q4" s="8">
        <f>L4-N4+1</f>
        <v>294.40000000000003</v>
      </c>
      <c r="R4" s="8">
        <f>K4/10</f>
        <v>62.8</v>
      </c>
      <c r="S4" s="6">
        <v>22</v>
      </c>
    </row>
    <row r="5" spans="1:19" x14ac:dyDescent="0.3">
      <c r="A5" s="9" t="s">
        <v>22</v>
      </c>
      <c r="B5" s="6">
        <v>63</v>
      </c>
      <c r="C5" s="8">
        <f>B5-B5*10/100</f>
        <v>56.7</v>
      </c>
      <c r="D5" s="8">
        <v>31</v>
      </c>
      <c r="E5" s="8">
        <f>D5-D5*10/100</f>
        <v>27.9</v>
      </c>
      <c r="F5" s="8">
        <f>C5-E5</f>
        <v>28.800000000000004</v>
      </c>
      <c r="G5" s="6">
        <v>6</v>
      </c>
      <c r="H5" s="6">
        <v>3</v>
      </c>
      <c r="J5" s="9" t="s">
        <v>22</v>
      </c>
      <c r="K5" s="6">
        <v>63</v>
      </c>
      <c r="L5" s="8">
        <f>K5-K5*10/100</f>
        <v>56.7</v>
      </c>
      <c r="M5" s="8">
        <v>31</v>
      </c>
      <c r="N5" s="8">
        <f>M5-M5*10/100</f>
        <v>27.9</v>
      </c>
      <c r="O5" s="8">
        <f t="shared" ref="O5:O6" si="0">ROUNDUP(M5/10,0)</f>
        <v>4</v>
      </c>
      <c r="P5" s="6">
        <f>ROUNDUP(M5*0.05,0)</f>
        <v>2</v>
      </c>
      <c r="Q5" s="8">
        <f>L5-N5</f>
        <v>28.800000000000004</v>
      </c>
      <c r="R5" s="6">
        <v>6</v>
      </c>
      <c r="S5" s="6">
        <v>3</v>
      </c>
    </row>
    <row r="6" spans="1:19" x14ac:dyDescent="0.3">
      <c r="A6" s="9" t="s">
        <v>23</v>
      </c>
      <c r="B6" s="8">
        <v>33</v>
      </c>
      <c r="C6" s="8">
        <f>B6-B6*30/100</f>
        <v>23.1</v>
      </c>
      <c r="D6" s="8">
        <v>16</v>
      </c>
      <c r="E6" s="8">
        <f>D6-D6*30/100+1</f>
        <v>12.2</v>
      </c>
      <c r="F6" s="8">
        <f>C6-E6</f>
        <v>10.900000000000002</v>
      </c>
      <c r="G6" s="6">
        <v>3</v>
      </c>
      <c r="H6" s="6">
        <v>2</v>
      </c>
      <c r="J6" s="9" t="s">
        <v>23</v>
      </c>
      <c r="K6" s="8">
        <v>33</v>
      </c>
      <c r="L6" s="8">
        <f>K6-K6*30/100</f>
        <v>23.1</v>
      </c>
      <c r="M6" s="8">
        <v>16</v>
      </c>
      <c r="N6" s="8">
        <f>M6-M6*30/100+1</f>
        <v>12.2</v>
      </c>
      <c r="O6" s="8">
        <f t="shared" si="0"/>
        <v>2</v>
      </c>
      <c r="P6" s="6">
        <f>ROUNDUP(M6*0.05,0)</f>
        <v>1</v>
      </c>
      <c r="Q6" s="8">
        <f>L6-N6</f>
        <v>10.900000000000002</v>
      </c>
      <c r="R6" s="6">
        <v>3</v>
      </c>
      <c r="S6" s="6">
        <v>2</v>
      </c>
    </row>
    <row r="7" spans="1:19" ht="19.5" x14ac:dyDescent="0.3">
      <c r="A7" s="10" t="s">
        <v>3</v>
      </c>
      <c r="B7" s="25">
        <f>SUM(B4:B6)</f>
        <v>724</v>
      </c>
      <c r="C7" s="11">
        <f>SUM(C4:C6)</f>
        <v>645.00000000000011</v>
      </c>
      <c r="D7" s="20">
        <f>SUM(D4:D6)</f>
        <v>349</v>
      </c>
      <c r="E7" s="11">
        <f>SUM(E4:E6)</f>
        <v>311.89999999999998</v>
      </c>
      <c r="F7" s="11">
        <f>C7-E7</f>
        <v>333.10000000000014</v>
      </c>
      <c r="G7" s="8">
        <f>SUM(G4:G6)</f>
        <v>71.8</v>
      </c>
      <c r="H7" s="6">
        <f>SUM(H4:H6)</f>
        <v>27</v>
      </c>
      <c r="J7" s="10" t="s">
        <v>3</v>
      </c>
      <c r="K7" s="25">
        <f>SUM(K4:K6)</f>
        <v>724</v>
      </c>
      <c r="L7" s="11">
        <f>SUM(L4:L6)</f>
        <v>645.00000000000011</v>
      </c>
      <c r="M7" s="20">
        <f>SUM(M4:M6)</f>
        <v>349</v>
      </c>
      <c r="N7" s="11">
        <f>SUM(N4:N6)</f>
        <v>311.89999999999998</v>
      </c>
      <c r="O7" s="8">
        <f>SUM(O4:O6)</f>
        <v>37</v>
      </c>
      <c r="P7" s="6">
        <f>SUM(P4:P6)</f>
        <v>14</v>
      </c>
      <c r="Q7" s="11">
        <f>L7-N7</f>
        <v>333.10000000000014</v>
      </c>
      <c r="R7" s="8">
        <f>SUM(R4:R6)</f>
        <v>71.8</v>
      </c>
      <c r="S7" s="6">
        <f>SUM(S4:S6)</f>
        <v>27</v>
      </c>
    </row>
    <row r="8" spans="1:19" x14ac:dyDescent="0.3">
      <c r="A8" s="12"/>
      <c r="B8" s="26"/>
      <c r="C8" s="26"/>
      <c r="D8" s="26"/>
      <c r="E8" s="26"/>
      <c r="F8" s="26"/>
      <c r="G8" s="26"/>
    </row>
    <row r="9" spans="1:19" x14ac:dyDescent="0.3">
      <c r="A9" s="12"/>
      <c r="B9" s="26"/>
      <c r="C9" s="26"/>
      <c r="D9" s="26"/>
      <c r="E9" s="26"/>
      <c r="F9" s="26"/>
      <c r="G9" s="26"/>
    </row>
    <row r="10" spans="1:19" ht="56.25" x14ac:dyDescent="0.3">
      <c r="A10" s="5" t="s">
        <v>20</v>
      </c>
      <c r="B10" s="27" t="s">
        <v>19</v>
      </c>
      <c r="C10" s="27" t="s">
        <v>18</v>
      </c>
      <c r="D10" s="27"/>
      <c r="E10" s="28" t="s">
        <v>3</v>
      </c>
      <c r="F10" s="3" t="s">
        <v>13</v>
      </c>
      <c r="G10" s="1"/>
    </row>
    <row r="11" spans="1:19" x14ac:dyDescent="0.3">
      <c r="A11" s="16" t="s">
        <v>5</v>
      </c>
      <c r="B11" s="29"/>
      <c r="C11" s="29"/>
      <c r="D11" s="29"/>
      <c r="E11" s="29"/>
      <c r="F11" s="17"/>
      <c r="G11" s="1"/>
    </row>
    <row r="12" spans="1:19" x14ac:dyDescent="0.3">
      <c r="A12" s="9" t="s">
        <v>7</v>
      </c>
      <c r="B12" s="8">
        <v>115</v>
      </c>
      <c r="C12" s="8">
        <v>150</v>
      </c>
      <c r="D12" s="8"/>
      <c r="E12" s="30">
        <f>B12+C12+D12</f>
        <v>265</v>
      </c>
      <c r="F12" s="29">
        <f>E12-$E$7</f>
        <v>-46.899999999999977</v>
      </c>
      <c r="G12" s="1" t="s">
        <v>14</v>
      </c>
      <c r="I12" s="21"/>
      <c r="J12" s="23"/>
    </row>
    <row r="13" spans="1:19" x14ac:dyDescent="0.3">
      <c r="A13" s="9" t="s">
        <v>16</v>
      </c>
      <c r="B13" s="8">
        <v>11</v>
      </c>
      <c r="C13" s="8">
        <v>21</v>
      </c>
      <c r="D13" s="8"/>
      <c r="E13" s="30">
        <f t="shared" ref="E13:E15" si="1">B13+C13+D13</f>
        <v>32</v>
      </c>
      <c r="F13" s="17"/>
      <c r="G13" s="1"/>
    </row>
    <row r="14" spans="1:19" x14ac:dyDescent="0.3">
      <c r="A14" s="16" t="s">
        <v>6</v>
      </c>
      <c r="B14" s="29"/>
      <c r="C14" s="29"/>
      <c r="D14" s="29"/>
      <c r="E14" s="34"/>
      <c r="F14" s="17"/>
      <c r="G14" s="1"/>
    </row>
    <row r="15" spans="1:19" x14ac:dyDescent="0.3">
      <c r="A15" s="9" t="s">
        <v>7</v>
      </c>
      <c r="B15" s="6">
        <v>178</v>
      </c>
      <c r="C15" s="6">
        <v>202</v>
      </c>
      <c r="D15" s="6"/>
      <c r="E15" s="30">
        <f t="shared" si="1"/>
        <v>380</v>
      </c>
      <c r="F15" s="29">
        <f>E15-$F$7</f>
        <v>46.899999999999864</v>
      </c>
      <c r="G15" s="1" t="s">
        <v>14</v>
      </c>
      <c r="I15" s="21"/>
      <c r="J15" s="23"/>
    </row>
    <row r="16" spans="1:19" x14ac:dyDescent="0.3">
      <c r="A16" s="9" t="s">
        <v>16</v>
      </c>
      <c r="B16" s="6">
        <v>19</v>
      </c>
      <c r="C16" s="6">
        <v>27</v>
      </c>
      <c r="D16" s="6"/>
      <c r="E16" s="30">
        <f>B16+C16+D16</f>
        <v>46</v>
      </c>
      <c r="F16" s="17"/>
      <c r="G16" s="1"/>
    </row>
    <row r="17" spans="1:9" x14ac:dyDescent="0.3">
      <c r="A17" s="16" t="s">
        <v>8</v>
      </c>
      <c r="B17" s="16"/>
      <c r="C17" s="16"/>
      <c r="D17" s="16"/>
      <c r="E17" s="34"/>
      <c r="F17" s="17"/>
      <c r="G17" s="1"/>
    </row>
    <row r="18" spans="1:9" ht="20.25" x14ac:dyDescent="0.3">
      <c r="A18" s="18" t="s">
        <v>7</v>
      </c>
      <c r="B18" s="17">
        <f t="shared" ref="B18:C19" si="2">B12+B15</f>
        <v>293</v>
      </c>
      <c r="C18" s="17">
        <f t="shared" si="2"/>
        <v>352</v>
      </c>
      <c r="D18" s="17"/>
      <c r="E18" s="35">
        <f>E12+E15</f>
        <v>645</v>
      </c>
      <c r="F18" s="17"/>
      <c r="G18" s="1"/>
    </row>
    <row r="19" spans="1:9" x14ac:dyDescent="0.3">
      <c r="A19" s="18" t="s">
        <v>16</v>
      </c>
      <c r="B19" s="17">
        <f t="shared" si="2"/>
        <v>30</v>
      </c>
      <c r="C19" s="17">
        <f t="shared" si="2"/>
        <v>48</v>
      </c>
      <c r="D19" s="17"/>
      <c r="E19" s="13">
        <f t="shared" ref="E19" si="3">E13+E16</f>
        <v>78</v>
      </c>
      <c r="F19" s="17"/>
      <c r="G19" s="1"/>
    </row>
    <row r="20" spans="1:9" ht="21.75" customHeight="1" x14ac:dyDescent="0.3">
      <c r="A20" s="19"/>
      <c r="B20" s="14"/>
      <c r="C20" s="14"/>
      <c r="D20" s="14"/>
      <c r="E20" s="14"/>
      <c r="F20" s="14"/>
      <c r="G20" s="14"/>
    </row>
    <row r="21" spans="1:9" ht="20.25" x14ac:dyDescent="0.3">
      <c r="A21" s="19" t="s">
        <v>9</v>
      </c>
      <c r="B21" s="15">
        <f>E18</f>
        <v>645</v>
      </c>
      <c r="C21" s="14" t="s">
        <v>21</v>
      </c>
      <c r="E21" s="2" t="s">
        <v>15</v>
      </c>
      <c r="F21" s="24">
        <f>$C$7-$B$21</f>
        <v>0</v>
      </c>
    </row>
    <row r="22" spans="1:9" x14ac:dyDescent="0.3">
      <c r="B22" s="14"/>
      <c r="C22" s="14"/>
    </row>
    <row r="23" spans="1:9" x14ac:dyDescent="0.3">
      <c r="A23" s="12"/>
      <c r="B23" s="1"/>
      <c r="C23" s="14"/>
      <c r="E23" s="1"/>
      <c r="F23" s="1"/>
    </row>
    <row r="24" spans="1:9" x14ac:dyDescent="0.3">
      <c r="A24" s="12"/>
      <c r="B24" s="14" t="s">
        <v>17</v>
      </c>
      <c r="C24" s="14"/>
      <c r="D24" s="33">
        <f>B21-E19</f>
        <v>567</v>
      </c>
      <c r="E24" s="14" t="s">
        <v>24</v>
      </c>
    </row>
    <row r="25" spans="1:9" ht="19.5" x14ac:dyDescent="0.3">
      <c r="A25" s="12"/>
      <c r="B25" s="22"/>
      <c r="C25" s="14"/>
    </row>
    <row r="26" spans="1:9" ht="19.5" x14ac:dyDescent="0.3">
      <c r="A26" s="12"/>
      <c r="B26" s="31"/>
    </row>
    <row r="27" spans="1:9" x14ac:dyDescent="0.3">
      <c r="A27"/>
      <c r="B27"/>
      <c r="C27"/>
      <c r="D27"/>
      <c r="E27"/>
      <c r="F27"/>
      <c r="G27"/>
      <c r="H27"/>
      <c r="I27"/>
    </row>
    <row r="28" spans="1:9" x14ac:dyDescent="0.3">
      <c r="A28"/>
      <c r="B28"/>
      <c r="C28"/>
      <c r="D28"/>
      <c r="E28"/>
      <c r="F28"/>
      <c r="G28"/>
      <c r="H28"/>
      <c r="I28"/>
    </row>
    <row r="29" spans="1:9" x14ac:dyDescent="0.3">
      <c r="A29"/>
      <c r="B29"/>
      <c r="C29"/>
      <c r="D29"/>
      <c r="E29"/>
      <c r="F29"/>
      <c r="G29"/>
      <c r="H29"/>
      <c r="I29"/>
    </row>
    <row r="30" spans="1:9" x14ac:dyDescent="0.3">
      <c r="A30"/>
      <c r="B30"/>
      <c r="C30"/>
      <c r="D30"/>
      <c r="E30"/>
      <c r="F30"/>
      <c r="G30"/>
      <c r="H30"/>
      <c r="I30"/>
    </row>
    <row r="31" spans="1:9" x14ac:dyDescent="0.3">
      <c r="A31" s="32"/>
      <c r="B31"/>
      <c r="C31"/>
      <c r="D31"/>
      <c r="E31"/>
      <c r="F31"/>
      <c r="G31"/>
      <c r="H31"/>
      <c r="I31"/>
    </row>
    <row r="32" spans="1:9" x14ac:dyDescent="0.3">
      <c r="A32"/>
      <c r="B32"/>
      <c r="C32"/>
      <c r="D32"/>
      <c r="E32"/>
      <c r="F32"/>
      <c r="G32"/>
      <c r="H32"/>
      <c r="I32"/>
    </row>
    <row r="33" spans="1:9" x14ac:dyDescent="0.3">
      <c r="A33"/>
      <c r="B33"/>
      <c r="C33"/>
      <c r="D33"/>
      <c r="E33"/>
      <c r="F33"/>
      <c r="G33"/>
      <c r="H33"/>
      <c r="I33"/>
    </row>
    <row r="34" spans="1:9" x14ac:dyDescent="0.3">
      <c r="A34"/>
      <c r="B34"/>
      <c r="C34"/>
      <c r="D34"/>
      <c r="E34"/>
      <c r="F34"/>
      <c r="G34"/>
      <c r="H34"/>
      <c r="I34"/>
    </row>
    <row r="35" spans="1:9" x14ac:dyDescent="0.3">
      <c r="A35"/>
      <c r="B35"/>
      <c r="C35"/>
      <c r="D35"/>
      <c r="E35"/>
      <c r="F35"/>
      <c r="G35"/>
      <c r="H35"/>
      <c r="I35"/>
    </row>
    <row r="36" spans="1:9" x14ac:dyDescent="0.3">
      <c r="A36"/>
      <c r="B36"/>
      <c r="C36"/>
      <c r="D36"/>
      <c r="E36"/>
      <c r="F36"/>
      <c r="G36"/>
      <c r="H36"/>
      <c r="I36"/>
    </row>
    <row r="37" spans="1:9" x14ac:dyDescent="0.3">
      <c r="A37"/>
      <c r="B37"/>
      <c r="C37"/>
      <c r="D37"/>
      <c r="E37"/>
      <c r="F37"/>
      <c r="G37"/>
      <c r="H37"/>
      <c r="I37"/>
    </row>
  </sheetData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Расчет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Баранова Юлия</dc:creator>
  <cp:lastModifiedBy>Баранова Юлия</cp:lastModifiedBy>
  <dcterms:created xsi:type="dcterms:W3CDTF">2026-09-03T09:59:07Z</dcterms:created>
  <dcterms:modified xsi:type="dcterms:W3CDTF">2026-10-19T16:26:35Z</dcterms:modified>
</cp:coreProperties>
</file>