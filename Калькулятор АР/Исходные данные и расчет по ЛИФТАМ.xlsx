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Объекты\053 Молодогвардейская\03 Проектирование\03 АГО (АГР)\01 Рабочая папка\00_АР\Лифты\"/>
    </mc:Choice>
  </mc:AlternateContent>
  <xr:revisionPtr revIDLastSave="0" documentId="13_ncr:1_{D46AECAD-770D-459B-A448-12F0F1B47330}" xr6:coauthVersionLast="47" xr6:coauthVersionMax="47" xr10:uidLastSave="{00000000-0000-0000-0000-000000000000}"/>
  <bookViews>
    <workbookView xWindow="32160" yWindow="1500" windowWidth="17535" windowHeight="13200" xr2:uid="{4F86507A-0E54-404D-9AC8-708B03F0A865}"/>
  </bookViews>
  <sheets>
    <sheet name="К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B15" i="1"/>
  <c r="B17" i="1"/>
  <c r="B16" i="1"/>
</calcChain>
</file>

<file path=xl/sharedStrings.xml><?xml version="1.0" encoding="utf-8"?>
<sst xmlns="http://schemas.openxmlformats.org/spreadsheetml/2006/main" count="28" uniqueCount="27">
  <si>
    <t>Исходные данные:</t>
  </si>
  <si>
    <t>Расчет по лифтам К1</t>
  </si>
  <si>
    <t xml:space="preserve">1  этаж_не жилой </t>
  </si>
  <si>
    <t>2 этаж_не жилой</t>
  </si>
  <si>
    <t>3-11 этажи_жилые</t>
  </si>
  <si>
    <t xml:space="preserve">12,13,15-33 этажи_жилые </t>
  </si>
  <si>
    <t>-1 этаж_подземный этаж, шт.</t>
  </si>
  <si>
    <t>-2 этаж_подземный этаж, шт.</t>
  </si>
  <si>
    <t>-3 этаж_подземный этаж, шт.</t>
  </si>
  <si>
    <t>Тех . Пространство</t>
  </si>
  <si>
    <t>Надземные этажи</t>
  </si>
  <si>
    <t>15 тех. этаж</t>
  </si>
  <si>
    <t>кол-во, шт.</t>
  </si>
  <si>
    <t>высота этажа (по остановке лифта), м</t>
  </si>
  <si>
    <t>кол-во квартир, шт.</t>
  </si>
  <si>
    <t>уточнить в квартирографии</t>
  </si>
  <si>
    <t xml:space="preserve">Итого остановок лифта, шт. </t>
  </si>
  <si>
    <t>Всего квартир</t>
  </si>
  <si>
    <t>Наименование</t>
  </si>
  <si>
    <t>Этажи</t>
  </si>
  <si>
    <t>Итого высота подъема, м</t>
  </si>
  <si>
    <t>Скорость</t>
  </si>
  <si>
    <t>Кол-во лифтов в Зоне 2</t>
  </si>
  <si>
    <t>Грузоподъёмность: 1000 кг</t>
  </si>
  <si>
    <t>Кол-во лифтов в Зоне 1, шт</t>
  </si>
  <si>
    <t>Зеленые строки НЕ заполнять!! (автоматические)</t>
  </si>
  <si>
    <t>Грузоподъёмность: 630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</si>
</sst>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6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right" vertical="center"/>
    </xf>
    <xf numFmtId="0" fontId="1" fillId="0" borderId="0" xfId="0" applyFont="1" applyFill="1" applyAlignment="1">
      <alignment horizontal="center" vertical="center"/>
    </xf>
    <xf numFmtId="49" fontId="1" fillId="4" borderId="1" xfId="0" applyNumberFormat="1" applyFont="1" applyFill="1" applyBorder="1" applyAlignment="1">
      <alignment horizontal="right" vertical="center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B8FB7-1905-47B9-96D3-7C491876FEEF}">
  <dimension ref="A1:E30"/>
  <sheetViews>
    <sheetView tabSelected="1" zoomScaleNormal="100" workbookViewId="0">
      <selection activeCell="A24" sqref="A24"/>
    </sheetView>
  </sheetViews>
  <sheetFormatPr defaultColWidth="35.85546875" defaultRowHeight="18.75" x14ac:dyDescent="0.25"/>
  <cols>
    <col min="1" max="1" width="44.28515625" style="9" customWidth="1"/>
    <col min="2" max="2" width="15.28515625" style="2" customWidth="1"/>
    <col min="3" max="3" width="35.85546875" style="1"/>
    <col min="4" max="4" width="20.28515625" style="1" customWidth="1"/>
    <col min="5" max="5" width="68.7109375" style="1" customWidth="1"/>
    <col min="6" max="16384" width="35.85546875" style="1"/>
  </cols>
  <sheetData>
    <row r="1" spans="1:5" ht="30" customHeight="1" x14ac:dyDescent="0.25">
      <c r="B1" s="2" t="s">
        <v>1</v>
      </c>
    </row>
    <row r="2" spans="1:5" s="12" customFormat="1" x14ac:dyDescent="0.25">
      <c r="A2" s="10" t="s">
        <v>0</v>
      </c>
      <c r="B2" s="4"/>
      <c r="C2" s="3"/>
      <c r="D2" s="3"/>
    </row>
    <row r="3" spans="1:5" s="12" customFormat="1" ht="37.5" x14ac:dyDescent="0.25">
      <c r="A3" s="18" t="s">
        <v>18</v>
      </c>
      <c r="B3" s="5" t="s">
        <v>12</v>
      </c>
      <c r="C3" s="8" t="s">
        <v>13</v>
      </c>
      <c r="D3" s="8" t="s">
        <v>14</v>
      </c>
    </row>
    <row r="4" spans="1:5" s="12" customFormat="1" ht="21" x14ac:dyDescent="0.25">
      <c r="A4" s="13" t="s">
        <v>19</v>
      </c>
      <c r="B4" s="14"/>
      <c r="C4" s="17"/>
      <c r="D4" s="17"/>
      <c r="E4" s="21" t="s">
        <v>25</v>
      </c>
    </row>
    <row r="5" spans="1:5" x14ac:dyDescent="0.25">
      <c r="A5" s="11" t="s">
        <v>6</v>
      </c>
      <c r="B5" s="6">
        <v>1</v>
      </c>
      <c r="C5" s="7">
        <v>3.2</v>
      </c>
      <c r="D5" s="7">
        <v>0</v>
      </c>
    </row>
    <row r="6" spans="1:5" x14ac:dyDescent="0.25">
      <c r="A6" s="11" t="s">
        <v>7</v>
      </c>
      <c r="B6" s="6">
        <v>1</v>
      </c>
      <c r="C6" s="7">
        <v>3.77</v>
      </c>
      <c r="D6" s="7">
        <v>0</v>
      </c>
    </row>
    <row r="7" spans="1:5" x14ac:dyDescent="0.25">
      <c r="A7" s="11" t="s">
        <v>8</v>
      </c>
      <c r="B7" s="6">
        <v>1</v>
      </c>
      <c r="C7" s="7">
        <v>3.77</v>
      </c>
      <c r="D7" s="7">
        <v>0</v>
      </c>
    </row>
    <row r="8" spans="1:5" s="12" customFormat="1" x14ac:dyDescent="0.25">
      <c r="A8" s="13" t="s">
        <v>10</v>
      </c>
      <c r="B8" s="14"/>
      <c r="C8" s="15"/>
      <c r="D8" s="15"/>
    </row>
    <row r="9" spans="1:5" x14ac:dyDescent="0.25">
      <c r="A9" s="11" t="s">
        <v>2</v>
      </c>
      <c r="B9" s="6">
        <v>1</v>
      </c>
      <c r="C9" s="7">
        <v>3.35</v>
      </c>
      <c r="D9" s="7">
        <v>0</v>
      </c>
    </row>
    <row r="10" spans="1:5" x14ac:dyDescent="0.25">
      <c r="A10" s="11" t="s">
        <v>3</v>
      </c>
      <c r="B10" s="6">
        <v>1</v>
      </c>
      <c r="C10" s="7">
        <v>4.1100000000000003</v>
      </c>
      <c r="D10" s="7">
        <v>0</v>
      </c>
    </row>
    <row r="11" spans="1:5" x14ac:dyDescent="0.25">
      <c r="A11" s="11" t="s">
        <v>9</v>
      </c>
      <c r="B11" s="6">
        <v>1</v>
      </c>
      <c r="C11" s="7">
        <v>1.99</v>
      </c>
      <c r="D11" s="7">
        <v>0</v>
      </c>
    </row>
    <row r="12" spans="1:5" x14ac:dyDescent="0.25">
      <c r="A12" s="11" t="s">
        <v>4</v>
      </c>
      <c r="B12" s="6">
        <v>9</v>
      </c>
      <c r="C12" s="7">
        <v>3.6</v>
      </c>
      <c r="D12" s="19">
        <v>125</v>
      </c>
      <c r="E12" s="1" t="s">
        <v>15</v>
      </c>
    </row>
    <row r="13" spans="1:5" x14ac:dyDescent="0.25">
      <c r="A13" s="11" t="s">
        <v>11</v>
      </c>
      <c r="B13" s="6">
        <v>1</v>
      </c>
      <c r="C13" s="7">
        <v>3.9</v>
      </c>
      <c r="D13" s="7">
        <v>0</v>
      </c>
    </row>
    <row r="14" spans="1:5" x14ac:dyDescent="0.25">
      <c r="A14" s="11" t="s">
        <v>5</v>
      </c>
      <c r="B14" s="6">
        <v>21</v>
      </c>
      <c r="C14" s="7">
        <v>3.9</v>
      </c>
      <c r="D14" s="19">
        <v>168</v>
      </c>
      <c r="E14" s="1" t="s">
        <v>15</v>
      </c>
    </row>
    <row r="15" spans="1:5" x14ac:dyDescent="0.25">
      <c r="A15" s="13" t="s">
        <v>16</v>
      </c>
      <c r="B15" s="16">
        <f>SUM(B5:B14)-B13-B11</f>
        <v>35</v>
      </c>
      <c r="C15" s="15"/>
      <c r="D15" s="15"/>
    </row>
    <row r="16" spans="1:5" x14ac:dyDescent="0.25">
      <c r="A16" s="13" t="s">
        <v>20</v>
      </c>
      <c r="B16" s="16">
        <f>C14*B14-1+C13*B13+C12*B12+C11*B11+C10*B10+C9*B9+C7*B7+C6*B6+C5*B5</f>
        <v>137.38999999999999</v>
      </c>
      <c r="C16" s="15"/>
      <c r="D16" s="15"/>
    </row>
    <row r="17" spans="1:4" x14ac:dyDescent="0.25">
      <c r="A17" s="13" t="s">
        <v>17</v>
      </c>
      <c r="B17" s="16">
        <f>SUM(D9:D14)</f>
        <v>293</v>
      </c>
      <c r="C17" s="15"/>
      <c r="D17" s="15"/>
    </row>
    <row r="18" spans="1:4" x14ac:dyDescent="0.25">
      <c r="A18" s="13"/>
      <c r="B18" s="16"/>
      <c r="C18" s="15"/>
      <c r="D18" s="15"/>
    </row>
    <row r="19" spans="1:4" x14ac:dyDescent="0.25">
      <c r="A19" s="11" t="s">
        <v>21</v>
      </c>
      <c r="B19" s="20">
        <v>1.6</v>
      </c>
      <c r="C19" s="7"/>
      <c r="D19" s="7"/>
    </row>
    <row r="20" spans="1:4" x14ac:dyDescent="0.25">
      <c r="A20" s="13" t="s">
        <v>24</v>
      </c>
      <c r="B20" s="14">
        <f>SUM(B21:B22)</f>
        <v>2</v>
      </c>
      <c r="C20" s="15"/>
      <c r="D20" s="15"/>
    </row>
    <row r="21" spans="1:4" x14ac:dyDescent="0.25">
      <c r="A21" s="11" t="s">
        <v>26</v>
      </c>
      <c r="B21" s="1">
        <v>1</v>
      </c>
      <c r="C21" s="7"/>
      <c r="D21" s="7"/>
    </row>
    <row r="22" spans="1:4" x14ac:dyDescent="0.25">
      <c r="A22" s="11" t="s">
        <v>23</v>
      </c>
      <c r="B22" s="6">
        <v>1</v>
      </c>
      <c r="C22" s="7"/>
      <c r="D22" s="7"/>
    </row>
    <row r="23" spans="1:4" x14ac:dyDescent="0.25">
      <c r="A23" s="11" t="s">
        <v>22</v>
      </c>
      <c r="B23" s="6">
        <v>5</v>
      </c>
      <c r="C23" s="7"/>
      <c r="D23" s="7"/>
    </row>
    <row r="24" spans="1:4" x14ac:dyDescent="0.25">
      <c r="A24" s="11"/>
      <c r="B24" s="6"/>
      <c r="C24" s="7"/>
      <c r="D24" s="7"/>
    </row>
    <row r="25" spans="1:4" x14ac:dyDescent="0.25">
      <c r="A25" s="11"/>
      <c r="B25" s="6"/>
      <c r="C25" s="7"/>
      <c r="D25" s="7"/>
    </row>
    <row r="26" spans="1:4" x14ac:dyDescent="0.25">
      <c r="A26" s="11"/>
      <c r="B26" s="6"/>
      <c r="C26" s="7"/>
      <c r="D26" s="7"/>
    </row>
    <row r="27" spans="1:4" x14ac:dyDescent="0.25">
      <c r="A27" s="11"/>
      <c r="B27" s="6"/>
      <c r="C27" s="7"/>
      <c r="D27" s="7"/>
    </row>
    <row r="28" spans="1:4" x14ac:dyDescent="0.25">
      <c r="A28" s="11"/>
      <c r="B28" s="6"/>
      <c r="C28" s="7"/>
      <c r="D28" s="7"/>
    </row>
    <row r="29" spans="1:4" x14ac:dyDescent="0.25">
      <c r="A29" s="11"/>
      <c r="B29" s="6"/>
      <c r="C29" s="7"/>
      <c r="D29" s="7"/>
    </row>
    <row r="30" spans="1:4" x14ac:dyDescent="0.25">
      <c r="A30" s="11"/>
      <c r="B30" s="6"/>
      <c r="C30" s="7"/>
      <c r="D30" s="7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Баранова Юлия</dc:creator>
  <cp:lastModifiedBy>Баранова Юлия</cp:lastModifiedBy>
  <dcterms:created xsi:type="dcterms:W3CDTF">2026-08-26T14:54:48Z</dcterms:created>
  <dcterms:modified xsi:type="dcterms:W3CDTF">2026-08-26T18:19:58Z</dcterms:modified>
</cp:coreProperties>
</file>