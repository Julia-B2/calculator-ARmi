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Объекты\053 Молодогвардейская\03 Проектирование\03 АГО (АГР)\01 Рабочая папка\00_АР\ТЭПы отправлено зак-у\2026.09.15_ТЭП предварительные с расчетами\16-10-2026\"/>
    </mc:Choice>
  </mc:AlternateContent>
  <xr:revisionPtr revIDLastSave="0" documentId="13_ncr:1_{EA53A23E-085A-403F-A4E5-C7D2D2E6787D}" xr6:coauthVersionLast="47" xr6:coauthVersionMax="47" xr10:uidLastSave="{00000000-0000-0000-0000-000000000000}"/>
  <bookViews>
    <workbookView xWindow="1755" yWindow="1830" windowWidth="21720" windowHeight="11250" activeTab="2" xr2:uid="{CFFBBFAF-2055-4F68-8914-0836C63C8501}"/>
  </bookViews>
  <sheets>
    <sheet name="Данные" sheetId="1" r:id="rId1"/>
    <sheet name="Нормативы" sheetId="2" r:id="rId2"/>
    <sheet name="Расчет_СоцИнфра" sheetId="3" r:id="rId3"/>
  </sheets>
  <definedNames>
    <definedName name="Зоны">Данные!$M$1:$M$4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4" i="1"/>
  <c r="B5" i="1"/>
  <c r="B3" i="1" l="1"/>
  <c r="D7" i="1"/>
  <c r="B4" i="2" l="1"/>
  <c r="B3" i="2"/>
  <c r="B2" i="2" l="1"/>
  <c r="B7" i="3" s="1"/>
  <c r="B11" i="3" s="1"/>
  <c r="B7" i="1"/>
  <c r="B9" i="3" l="1"/>
  <c r="B13" i="3" s="1"/>
  <c r="B8" i="3"/>
  <c r="B12" i="3" s="1"/>
  <c r="B14" i="3" s="1"/>
  <c r="B3" i="3"/>
  <c r="B5" i="3"/>
</calcChain>
</file>

<file path=xl/sharedStrings.xml><?xml version="1.0" encoding="utf-8"?>
<sst xmlns="http://schemas.openxmlformats.org/spreadsheetml/2006/main" count="58" uniqueCount="47">
  <si>
    <t>Тип квартиры</t>
  </si>
  <si>
    <t>Кол-во кв-р</t>
  </si>
  <si>
    <t>Население (расчетное)</t>
  </si>
  <si>
    <t>Студия</t>
  </si>
  <si>
    <t>1-комнатная</t>
  </si>
  <si>
    <t>2-комнатная / 2Е</t>
  </si>
  <si>
    <t>3-комнатная / 3Е</t>
  </si>
  <si>
    <t>4-комнатная / 4Е</t>
  </si>
  <si>
    <t>ИТОГО:</t>
  </si>
  <si>
    <t>Заполнять только желтые ячейки!</t>
  </si>
  <si>
    <t>Параметр</t>
  </si>
  <si>
    <t>Значение</t>
  </si>
  <si>
    <t>Численность населения (N)</t>
  </si>
  <si>
    <t xml:space="preserve">	Поликлиника детская (пос./см./1000)</t>
  </si>
  <si>
    <t>Поликлиника взрослая (пос./см./1000)</t>
  </si>
  <si>
    <t>Поликлиника смешанная (пос./см./1000)</t>
  </si>
  <si>
    <t>Площадь на 1 посещение (кв.м)</t>
  </si>
  <si>
    <r>
      <rPr>
        <b/>
        <sz val="12"/>
        <color theme="1"/>
        <rFont val="Arial"/>
        <family val="2"/>
        <charset val="204"/>
      </rPr>
      <t>Зона 2:</t>
    </r>
    <r>
      <rPr>
        <sz val="12"/>
        <color theme="1"/>
        <rFont val="Arial"/>
        <family val="2"/>
        <charset val="204"/>
      </rPr>
      <t xml:space="preserve"> Остальные периферийные районы города</t>
    </r>
  </si>
  <si>
    <r>
      <rPr>
        <b/>
        <sz val="12"/>
        <color theme="1"/>
        <rFont val="Arial"/>
        <family val="2"/>
        <charset val="204"/>
      </rPr>
      <t>Зона 1:</t>
    </r>
    <r>
      <rPr>
        <sz val="12"/>
        <color theme="1"/>
        <rFont val="Arial"/>
        <family val="2"/>
        <charset val="204"/>
      </rPr>
      <t xml:space="preserve"> ЦАО, а также районы ЗАО — Дорогомилово, Филёвский парк, Фили-Давыдково и Кунцево. Район Можайский при этом отнесен к Зоне 2/ (центральные и срединные районы Москвы, например: Арбат, Хамовники, Пресненский, Тверской)</t>
    </r>
  </si>
  <si>
    <t xml:space="preserve">	ДОУ Зона 1 </t>
  </si>
  <si>
    <t>(мест/1000 жит.)</t>
  </si>
  <si>
    <t xml:space="preserve">	ДОУ Зона 2 </t>
  </si>
  <si>
    <t xml:space="preserve">	Школа  Зона 1</t>
  </si>
  <si>
    <t xml:space="preserve">	Школа Зона 2</t>
  </si>
  <si>
    <t>Зона 1</t>
  </si>
  <si>
    <t>Зона 2</t>
  </si>
  <si>
    <t>норма не меняется</t>
  </si>
  <si>
    <t>Автоматически из вкладки Данные!</t>
  </si>
  <si>
    <t>Выпадающие автоматические списки. Выбирать из списка!</t>
  </si>
  <si>
    <t>Объект</t>
  </si>
  <si>
    <t>Результат</t>
  </si>
  <si>
    <t>ДОУ (Дошкольные учреждения)</t>
  </si>
  <si>
    <t>Потребность в местах</t>
  </si>
  <si>
    <t>Школы</t>
  </si>
  <si>
    <t>Таблица полностью АВТОМАТ!</t>
  </si>
  <si>
    <t>Поликлиники                      (Посещений в смену)</t>
  </si>
  <si>
    <t>Детская</t>
  </si>
  <si>
    <t>Взрослая</t>
  </si>
  <si>
    <t>Смешанного типа</t>
  </si>
  <si>
    <t>Поликлиники                                                         (Площадь, кв.м)</t>
  </si>
  <si>
    <r>
      <t>Постановлением Правительства Москвы от 21.12.2021 № 2152-ПП</t>
    </r>
    <r>
      <rPr>
        <sz val="12"/>
        <color theme="1"/>
        <rFont val="Arial"/>
        <family val="2"/>
        <charset val="204"/>
      </rPr>
      <t xml:space="preserve"> . Действующая редакция — с учётом изменений от18.08.2026 </t>
    </r>
    <r>
      <rPr>
        <b/>
        <sz val="12"/>
        <color theme="1"/>
        <rFont val="Arial"/>
        <family val="2"/>
        <charset val="204"/>
      </rPr>
      <t>. Определение расчётного населения (п. 1.4.2)</t>
    </r>
    <r>
      <rPr>
        <sz val="12"/>
        <color theme="1"/>
        <rFont val="Arial"/>
        <family val="2"/>
        <charset val="204"/>
      </rPr>
      <t xml:space="preserve"> Расчётное население определяется величиной</t>
    </r>
    <r>
      <rPr>
        <b/>
        <sz val="12"/>
        <color theme="1"/>
        <rFont val="Arial"/>
        <family val="2"/>
        <charset val="204"/>
      </rPr>
      <t xml:space="preserve"> площади квартир, приходящейся на одного человека</t>
    </r>
  </si>
  <si>
    <t>Общая площадь квартир</t>
  </si>
  <si>
    <t>норма на 1 чел.</t>
  </si>
  <si>
    <t>Постановление Правительства Москвы от 28.04.2025 № 921‑ПП —  порядок расчёта обеспеченности объектами образования</t>
  </si>
  <si>
    <t>Нормативы градостроительного проектирования города Москвы в области здравоохранения</t>
  </si>
  <si>
    <t>Итого м2</t>
  </si>
  <si>
    <t>Постановление Правительства Москвы от 28.04.2025 N 921-ПП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</si>
</sst>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sz val="14"/>
      <color rgb="FFFF000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sz val="15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3" borderId="0" xfId="0" applyFont="1" applyFill="1"/>
    <xf numFmtId="0" fontId="8" fillId="0" borderId="0" xfId="0" applyFont="1"/>
    <xf numFmtId="0" fontId="1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57150</xdr:rowOff>
    </xdr:from>
    <xdr:to>
      <xdr:col>5</xdr:col>
      <xdr:colOff>19050</xdr:colOff>
      <xdr:row>24</xdr:row>
      <xdr:rowOff>82741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E4149F7-CB29-4D6E-8F32-9FF6AEEED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05350"/>
          <a:ext cx="6619875" cy="2883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8958-5941-468A-8BE9-7CBAE4D7B169}">
  <dimension ref="A1:N9"/>
  <sheetViews>
    <sheetView workbookViewId="0">
      <selection activeCell="D7" sqref="D7"/>
    </sheetView>
  </sheetViews>
  <sheetFormatPr defaultRowHeight="15" x14ac:dyDescent="0.25"/>
  <cols>
    <col min="1" max="1" width="15.7109375" style="1" customWidth="1"/>
    <col min="2" max="2" width="9.5703125" style="1" customWidth="1"/>
    <col min="3" max="3" width="51.140625" style="1" customWidth="1"/>
    <col min="4" max="4" width="16.42578125" style="1" customWidth="1"/>
    <col min="5" max="5" width="6.140625" style="1" customWidth="1"/>
    <col min="6" max="6" width="2.42578125" style="1" customWidth="1"/>
    <col min="7" max="7" width="1.85546875" style="1" customWidth="1"/>
    <col min="8" max="9" width="2.85546875" style="1" customWidth="1"/>
    <col min="10" max="10" width="3.140625" style="1" customWidth="1"/>
    <col min="11" max="11" width="9.140625" style="1"/>
    <col min="12" max="12" width="78.42578125" style="1" customWidth="1"/>
    <col min="13" max="13" width="19.42578125" style="1" customWidth="1"/>
    <col min="14" max="16384" width="9.140625" style="1"/>
  </cols>
  <sheetData>
    <row r="1" spans="1:14" ht="69" customHeight="1" x14ac:dyDescent="0.25">
      <c r="A1" s="3" t="s">
        <v>0</v>
      </c>
      <c r="B1" s="3" t="s">
        <v>1</v>
      </c>
      <c r="C1" s="26" t="s">
        <v>9</v>
      </c>
      <c r="F1" s="7"/>
      <c r="K1" s="1" t="s">
        <v>24</v>
      </c>
      <c r="L1" s="14" t="s">
        <v>18</v>
      </c>
      <c r="M1" s="13" t="s">
        <v>19</v>
      </c>
      <c r="N1" s="4">
        <v>44</v>
      </c>
    </row>
    <row r="2" spans="1:14" ht="15.75" x14ac:dyDescent="0.25">
      <c r="A2" s="4" t="s">
        <v>3</v>
      </c>
      <c r="B2" s="6">
        <v>23</v>
      </c>
      <c r="D2"/>
      <c r="K2" s="1" t="s">
        <v>25</v>
      </c>
      <c r="L2" s="14" t="s">
        <v>17</v>
      </c>
      <c r="M2" s="13" t="s">
        <v>21</v>
      </c>
      <c r="N2" s="4">
        <v>63</v>
      </c>
    </row>
    <row r="3" spans="1:14" x14ac:dyDescent="0.25">
      <c r="A3" s="4" t="s">
        <v>4</v>
      </c>
      <c r="B3" s="6">
        <f>112+7</f>
        <v>119</v>
      </c>
      <c r="C3"/>
      <c r="D3"/>
      <c r="L3" s="14"/>
      <c r="M3" s="13" t="s">
        <v>22</v>
      </c>
      <c r="N3" s="4">
        <v>90</v>
      </c>
    </row>
    <row r="4" spans="1:14" ht="30" x14ac:dyDescent="0.25">
      <c r="A4" s="4" t="s">
        <v>5</v>
      </c>
      <c r="B4" s="6">
        <f>94+77+6+2</f>
        <v>179</v>
      </c>
      <c r="C4" s="27" t="s">
        <v>41</v>
      </c>
      <c r="D4" s="29">
        <v>48181.3</v>
      </c>
      <c r="L4" s="14"/>
      <c r="M4" s="13" t="s">
        <v>23</v>
      </c>
      <c r="N4" s="4">
        <v>124</v>
      </c>
    </row>
    <row r="5" spans="1:14" ht="31.5" x14ac:dyDescent="0.25">
      <c r="A5" s="4" t="s">
        <v>6</v>
      </c>
      <c r="B5" s="6">
        <f>65+71+3+4+4</f>
        <v>147</v>
      </c>
      <c r="C5" s="27" t="s">
        <v>42</v>
      </c>
      <c r="D5" s="5">
        <v>33</v>
      </c>
      <c r="L5" s="30" t="s">
        <v>43</v>
      </c>
    </row>
    <row r="6" spans="1:14" ht="30" x14ac:dyDescent="0.25">
      <c r="A6" s="4" t="s">
        <v>7</v>
      </c>
      <c r="B6" s="6">
        <f>137+1+4+4</f>
        <v>146</v>
      </c>
      <c r="C6"/>
      <c r="D6"/>
      <c r="L6" s="14"/>
    </row>
    <row r="7" spans="1:14" ht="15.75" x14ac:dyDescent="0.25">
      <c r="A7" s="4" t="s">
        <v>8</v>
      </c>
      <c r="B7" s="5">
        <f>SUM(B2:B6)</f>
        <v>614</v>
      </c>
      <c r="C7" s="27" t="s">
        <v>2</v>
      </c>
      <c r="D7" s="5">
        <f>ROUNDUP(D4/D5, 0)</f>
        <v>1461</v>
      </c>
      <c r="E7" s="2"/>
      <c r="L7" s="14"/>
    </row>
    <row r="8" spans="1:14" x14ac:dyDescent="0.25">
      <c r="L8" s="14"/>
    </row>
    <row r="9" spans="1:14" ht="145.5" customHeight="1" x14ac:dyDescent="0.25">
      <c r="C9" s="28" t="s">
        <v>40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4B63-385F-45E9-AE1D-1BFA1A39C3CD}">
  <dimension ref="A1:O13"/>
  <sheetViews>
    <sheetView zoomScale="70" zoomScaleNormal="70" workbookViewId="0">
      <selection activeCell="B2" sqref="B2"/>
    </sheetView>
  </sheetViews>
  <sheetFormatPr defaultRowHeight="18" x14ac:dyDescent="0.25"/>
  <cols>
    <col min="1" max="1" width="54.85546875" style="10" customWidth="1"/>
    <col min="2" max="2" width="13.7109375" style="10" customWidth="1"/>
    <col min="3" max="16384" width="9.140625" style="10"/>
  </cols>
  <sheetData>
    <row r="1" spans="1:15" ht="26.25" customHeight="1" x14ac:dyDescent="0.25">
      <c r="A1" s="12" t="s">
        <v>10</v>
      </c>
      <c r="B1" s="12" t="s">
        <v>11</v>
      </c>
    </row>
    <row r="2" spans="1:15" ht="26.25" customHeight="1" x14ac:dyDescent="0.25">
      <c r="A2" s="10" t="s">
        <v>12</v>
      </c>
      <c r="B2" s="11">
        <f>Данные!$D$7</f>
        <v>1461</v>
      </c>
      <c r="J2" s="16" t="s">
        <v>27</v>
      </c>
    </row>
    <row r="3" spans="1:15" ht="26.25" customHeight="1" x14ac:dyDescent="0.25">
      <c r="A3" s="15" t="s">
        <v>19</v>
      </c>
      <c r="B3" s="10">
        <f>VLOOKUP(A3,Данные!$M$1:$N$4,2,FALSE)</f>
        <v>44</v>
      </c>
      <c r="C3" s="10" t="s">
        <v>20</v>
      </c>
      <c r="J3" s="16" t="s">
        <v>28</v>
      </c>
    </row>
    <row r="4" spans="1:15" ht="26.25" customHeight="1" x14ac:dyDescent="0.25">
      <c r="A4" s="15" t="s">
        <v>22</v>
      </c>
      <c r="B4" s="10">
        <f>VLOOKUP(A4,Данные!$M$1:$N$4,2,FALSE)</f>
        <v>90</v>
      </c>
      <c r="C4" s="10" t="s">
        <v>20</v>
      </c>
      <c r="J4" s="16" t="s">
        <v>28</v>
      </c>
    </row>
    <row r="5" spans="1:15" ht="26.25" customHeight="1" x14ac:dyDescent="0.25">
      <c r="A5" s="10" t="s">
        <v>13</v>
      </c>
      <c r="B5" s="10">
        <v>5.8</v>
      </c>
      <c r="J5" s="16" t="s">
        <v>26</v>
      </c>
      <c r="O5" t="s">
        <v>44</v>
      </c>
    </row>
    <row r="6" spans="1:15" ht="26.25" customHeight="1" x14ac:dyDescent="0.25">
      <c r="A6" s="10" t="s">
        <v>14</v>
      </c>
      <c r="B6" s="10">
        <v>13.2</v>
      </c>
      <c r="J6" s="16" t="s">
        <v>26</v>
      </c>
      <c r="O6" s="33" t="s">
        <v>46</v>
      </c>
    </row>
    <row r="7" spans="1:15" ht="26.25" customHeight="1" x14ac:dyDescent="0.25">
      <c r="A7" s="10" t="s">
        <v>15</v>
      </c>
      <c r="B7" s="10">
        <v>19</v>
      </c>
      <c r="J7" s="16" t="s">
        <v>26</v>
      </c>
    </row>
    <row r="8" spans="1:15" ht="26.25" customHeight="1" x14ac:dyDescent="0.25">
      <c r="A8" s="10" t="s">
        <v>16</v>
      </c>
      <c r="B8" s="10">
        <v>27</v>
      </c>
      <c r="J8" s="16" t="s">
        <v>26</v>
      </c>
    </row>
    <row r="9" spans="1:15" ht="26.25" customHeight="1" x14ac:dyDescent="0.25">
      <c r="E9"/>
    </row>
    <row r="10" spans="1:15" ht="26.25" customHeight="1" x14ac:dyDescent="0.25">
      <c r="E10"/>
    </row>
    <row r="13" spans="1:15" x14ac:dyDescent="0.25">
      <c r="A13"/>
    </row>
  </sheetData>
  <sheetProtection formatCells="0" formatColumns="0" formatRows="0" insertColumns="0" insertRows="0" deleteColumns="0" deleteRows="0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868361-3CC5-4AE7-AA23-101568D81F3D}">
          <x14:formula1>
            <xm:f>Данные!$M$1:$M$4</xm:f>
          </x14:formula1>
          <xm:sqref>A3:A4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25C8-D1AD-45CE-B0F0-DB5660B2E9AE}">
  <dimension ref="A1:F14"/>
  <sheetViews>
    <sheetView tabSelected="1" workbookViewId="0">
      <selection activeCell="B3" sqref="B3"/>
    </sheetView>
  </sheetViews>
  <sheetFormatPr defaultRowHeight="20.25" customHeight="1" x14ac:dyDescent="0.25"/>
  <cols>
    <col min="1" max="1" width="36.140625" style="9" customWidth="1"/>
    <col min="2" max="2" width="27.140625" style="9" customWidth="1"/>
    <col min="3" max="3" width="27.140625" customWidth="1"/>
    <col min="4" max="16384" width="9.140625" style="8"/>
  </cols>
  <sheetData>
    <row r="1" spans="1:6" s="9" customFormat="1" ht="20.25" customHeight="1" x14ac:dyDescent="0.25">
      <c r="A1" s="18" t="s">
        <v>29</v>
      </c>
      <c r="B1" s="18" t="s">
        <v>30</v>
      </c>
      <c r="C1"/>
      <c r="F1" s="17" t="s">
        <v>34</v>
      </c>
    </row>
    <row r="2" spans="1:6" ht="20.25" customHeight="1" x14ac:dyDescent="0.25">
      <c r="A2" s="19" t="s">
        <v>31</v>
      </c>
      <c r="B2" s="20"/>
    </row>
    <row r="3" spans="1:6" ht="20.25" customHeight="1" x14ac:dyDescent="0.25">
      <c r="A3" s="21" t="s">
        <v>32</v>
      </c>
      <c r="B3" s="22">
        <f>ROUNDUP(Нормативы!B2 * Нормативы!B3 / 1000, 0)</f>
        <v>65</v>
      </c>
    </row>
    <row r="4" spans="1:6" ht="20.25" customHeight="1" x14ac:dyDescent="0.25">
      <c r="A4" s="23" t="s">
        <v>33</v>
      </c>
      <c r="B4" s="20"/>
    </row>
    <row r="5" spans="1:6" ht="20.25" customHeight="1" x14ac:dyDescent="0.25">
      <c r="A5" s="21" t="s">
        <v>32</v>
      </c>
      <c r="B5" s="22">
        <f>ROUNDUP(Нормативы!B2 * Нормативы!B4 / 1000, 0)</f>
        <v>132</v>
      </c>
    </row>
    <row r="6" spans="1:6" ht="32.25" customHeight="1" x14ac:dyDescent="0.25">
      <c r="A6" s="24" t="s">
        <v>35</v>
      </c>
      <c r="B6" s="20"/>
    </row>
    <row r="7" spans="1:6" ht="20.25" customHeight="1" x14ac:dyDescent="0.25">
      <c r="A7" s="21" t="s">
        <v>36</v>
      </c>
      <c r="B7" s="22">
        <f>ROUNDUP(Нормативы!B2 * Нормативы!B5 / 1000, 0)</f>
        <v>9</v>
      </c>
    </row>
    <row r="8" spans="1:6" ht="20.25" customHeight="1" x14ac:dyDescent="0.25">
      <c r="A8" s="21" t="s">
        <v>37</v>
      </c>
      <c r="B8" s="22">
        <f>ROUNDUP(Нормативы!B2 * Нормативы!B6 / 1000, 0)</f>
        <v>20</v>
      </c>
    </row>
    <row r="9" spans="1:6" ht="20.25" customHeight="1" x14ac:dyDescent="0.25">
      <c r="A9" s="21" t="s">
        <v>38</v>
      </c>
      <c r="B9" s="22">
        <f>ROUNDUP(Нормативы!B2 * Нормативы!B7 / 1000, 0)</f>
        <v>28</v>
      </c>
    </row>
    <row r="10" spans="1:6" ht="33" customHeight="1" x14ac:dyDescent="0.25">
      <c r="A10" s="24" t="s">
        <v>39</v>
      </c>
      <c r="B10" s="22"/>
    </row>
    <row r="11" spans="1:6" ht="20.25" customHeight="1" x14ac:dyDescent="0.25">
      <c r="A11" s="21" t="s">
        <v>36</v>
      </c>
      <c r="B11" s="25">
        <f>B7 * Нормативы!$B$8</f>
        <v>243</v>
      </c>
    </row>
    <row r="12" spans="1:6" ht="20.25" customHeight="1" x14ac:dyDescent="0.25">
      <c r="A12" s="21" t="s">
        <v>37</v>
      </c>
      <c r="B12" s="25">
        <f>B8 * Нормативы!$B$8</f>
        <v>540</v>
      </c>
    </row>
    <row r="13" spans="1:6" ht="20.25" customHeight="1" x14ac:dyDescent="0.25">
      <c r="A13" s="21" t="s">
        <v>38</v>
      </c>
      <c r="B13" s="25">
        <f>B9 * Нормативы!$B$8</f>
        <v>756</v>
      </c>
    </row>
    <row r="14" spans="1:6" ht="20.25" customHeight="1" x14ac:dyDescent="0.25">
      <c r="A14" s="32" t="s">
        <v>45</v>
      </c>
      <c r="B14" s="31">
        <f>SUM(B11:B13)</f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Данные</vt:lpstr>
      <vt:lpstr>Нормативы</vt:lpstr>
      <vt:lpstr>Расчет_СоцИнфра</vt:lpstr>
      <vt:lpstr>Зоны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Баранова Юлия</dc:creator>
  <cp:lastModifiedBy>Баранова Юлия</cp:lastModifiedBy>
  <dcterms:created xsi:type="dcterms:W3CDTF">2026-09-17T09:36:58Z</dcterms:created>
  <dcterms:modified xsi:type="dcterms:W3CDTF">2026-10-16T13:59:17Z</dcterms:modified>
</cp:coreProperties>
</file>